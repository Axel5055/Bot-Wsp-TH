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go\Desktop\Nuevo Bot\media\excel\"/>
    </mc:Choice>
  </mc:AlternateContent>
  <xr:revisionPtr revIDLastSave="0" documentId="13_ncr:1_{167E48D4-1E75-4597-A92D-7A0E4C9D9703}" xr6:coauthVersionLast="47" xr6:coauthVersionMax="47" xr10:uidLastSave="{00000000-0000-0000-0000-000000000000}"/>
  <bookViews>
    <workbookView xWindow="20370" yWindow="-120" windowWidth="29040" windowHeight="15720" xr2:uid="{72607D6B-F0C4-46B3-AF49-1851F2BE66AB}"/>
  </bookViews>
  <sheets>
    <sheet name="Stats" sheetId="20" r:id="rId1"/>
    <sheet name="Top 10" sheetId="21" r:id="rId2"/>
    <sheet name="Caza" sheetId="26" r:id="rId3"/>
    <sheet name="Ranking Evento" sheetId="22" r:id="rId4"/>
    <sheet name="Caza lvl 1" sheetId="18" r:id="rId5"/>
    <sheet name="Avisos" sheetId="31" r:id="rId6"/>
    <sheet name="Numeros" sheetId="37" r:id="rId7"/>
    <sheet name="FDG" sheetId="41" r:id="rId8"/>
    <sheet name="10-05-2026" sheetId="42" r:id="rId9"/>
  </sheets>
  <definedNames>
    <definedName name="_xlnm._FilterDatabase" localSheetId="5" hidden="1">Avisos!$A$1:$R$1</definedName>
    <definedName name="_xlnm._FilterDatabase" localSheetId="2" hidden="1">Caza!$A$4:$M$113</definedName>
    <definedName name="_xlnm._FilterDatabase" localSheetId="3" hidden="1">'Ranking Evento'!$B$1:$I$97</definedName>
    <definedName name="_xlnm._FilterDatabase" localSheetId="1" hidden="1">'Top 10'!$B$1:$D$1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8" i="22" l="1"/>
  <c r="E19" i="22"/>
  <c r="E29" i="22"/>
  <c r="E104" i="22"/>
  <c r="E53" i="22"/>
  <c r="E12" i="22"/>
  <c r="E85" i="22"/>
  <c r="E4" i="22"/>
  <c r="E79" i="22"/>
  <c r="E57" i="22"/>
  <c r="E46" i="22"/>
  <c r="E27" i="22"/>
  <c r="E93" i="22"/>
  <c r="E106" i="22"/>
  <c r="E100" i="22"/>
  <c r="E108" i="22"/>
  <c r="E109" i="22"/>
  <c r="D38" i="22"/>
  <c r="D52" i="22"/>
  <c r="D76" i="22"/>
  <c r="D15" i="22"/>
  <c r="D17" i="22"/>
  <c r="D8" i="22"/>
  <c r="D19" i="22"/>
  <c r="I19" i="22" s="1"/>
  <c r="D18" i="22"/>
  <c r="D81" i="22"/>
  <c r="D28" i="22"/>
  <c r="D96" i="22"/>
  <c r="D92" i="22"/>
  <c r="D29" i="22"/>
  <c r="I29" i="22" s="1"/>
  <c r="D33" i="22"/>
  <c r="D94" i="22"/>
  <c r="D48" i="22"/>
  <c r="D69" i="22"/>
  <c r="D2" i="22"/>
  <c r="D104" i="22"/>
  <c r="I104" i="22" s="1"/>
  <c r="D47" i="22"/>
  <c r="D34" i="22"/>
  <c r="D43" i="22"/>
  <c r="D35" i="22"/>
  <c r="D95" i="22"/>
  <c r="D53" i="22"/>
  <c r="I53" i="22" s="1"/>
  <c r="D88" i="22"/>
  <c r="D36" i="22"/>
  <c r="D49" i="22"/>
  <c r="D59" i="22"/>
  <c r="D75" i="22"/>
  <c r="D12" i="22"/>
  <c r="I12" i="22" s="1"/>
  <c r="D67" i="22"/>
  <c r="D85" i="22"/>
  <c r="D21" i="22"/>
  <c r="D14" i="22"/>
  <c r="D54" i="22"/>
  <c r="D7" i="22"/>
  <c r="D39" i="22"/>
  <c r="D4" i="22"/>
  <c r="I4" i="22" s="1"/>
  <c r="D30" i="22"/>
  <c r="D24" i="22"/>
  <c r="D23" i="22"/>
  <c r="D13" i="22"/>
  <c r="D50" i="22"/>
  <c r="D60" i="22"/>
  <c r="D55" i="22"/>
  <c r="D56" i="22"/>
  <c r="D5" i="22"/>
  <c r="D10" i="22"/>
  <c r="D61" i="22"/>
  <c r="D62" i="22"/>
  <c r="D32" i="22"/>
  <c r="D84" i="22"/>
  <c r="D97" i="22"/>
  <c r="D86" i="22"/>
  <c r="D40" i="22"/>
  <c r="D79" i="22"/>
  <c r="I79" i="22" s="1"/>
  <c r="D105" i="22"/>
  <c r="D26" i="22"/>
  <c r="D44" i="22"/>
  <c r="D80" i="22"/>
  <c r="D71" i="22"/>
  <c r="D82" i="22"/>
  <c r="D31" i="22"/>
  <c r="D22" i="22"/>
  <c r="D25" i="22"/>
  <c r="D51" i="22"/>
  <c r="D63" i="22"/>
  <c r="D57" i="22"/>
  <c r="I57" i="22" s="1"/>
  <c r="D73" i="22"/>
  <c r="D16" i="22"/>
  <c r="D11" i="22"/>
  <c r="D41" i="22"/>
  <c r="D9" i="22"/>
  <c r="D46" i="22"/>
  <c r="I46" i="22" s="1"/>
  <c r="D37" i="22"/>
  <c r="D66" i="22"/>
  <c r="D42" i="22"/>
  <c r="D45" i="22"/>
  <c r="D64" i="22"/>
  <c r="D27" i="22"/>
  <c r="I27" i="22" s="1"/>
  <c r="D68" i="22"/>
  <c r="D65" i="22"/>
  <c r="D77" i="22"/>
  <c r="D93" i="22"/>
  <c r="I93" i="22" s="1"/>
  <c r="D101" i="22"/>
  <c r="D106" i="22"/>
  <c r="I106" i="22" s="1"/>
  <c r="D102" i="22"/>
  <c r="D98" i="22"/>
  <c r="D72" i="22"/>
  <c r="D78" i="22"/>
  <c r="D99" i="22"/>
  <c r="D100" i="22"/>
  <c r="I100" i="22" s="1"/>
  <c r="D70" i="22"/>
  <c r="D107" i="22"/>
  <c r="D58" i="22"/>
  <c r="D108" i="22"/>
  <c r="I108" i="22" s="1"/>
  <c r="D103" i="22"/>
  <c r="D109" i="22"/>
  <c r="I109" i="22" s="1"/>
  <c r="D20" i="22"/>
  <c r="D83" i="22"/>
  <c r="D74" i="22"/>
  <c r="D3" i="22"/>
  <c r="D110" i="22"/>
  <c r="D90" i="22"/>
  <c r="D91" i="22"/>
  <c r="D89" i="22"/>
  <c r="D87" i="22"/>
  <c r="D6" i="22"/>
  <c r="O2" i="31"/>
  <c r="Q3" i="31"/>
  <c r="Q4" i="31"/>
  <c r="O4" i="31" s="1"/>
  <c r="N2" i="31"/>
  <c r="P2" i="31"/>
  <c r="N3" i="31"/>
  <c r="O3" i="31"/>
  <c r="P3" i="31"/>
  <c r="N4" i="31"/>
  <c r="P4" i="31"/>
  <c r="N5" i="31"/>
  <c r="O5" i="31"/>
  <c r="P5" i="31"/>
  <c r="N6" i="31"/>
  <c r="O6" i="31"/>
  <c r="P6" i="31"/>
  <c r="E56" i="26"/>
  <c r="E46" i="26"/>
  <c r="E83" i="26"/>
  <c r="E47" i="26"/>
  <c r="E28" i="26"/>
  <c r="E57" i="26"/>
  <c r="E12" i="26"/>
  <c r="E22" i="26"/>
  <c r="E42" i="26"/>
  <c r="E19" i="26"/>
  <c r="E50" i="26"/>
  <c r="E62" i="26"/>
  <c r="E24" i="26"/>
  <c r="E31" i="26"/>
  <c r="E40" i="26"/>
  <c r="E43" i="26"/>
  <c r="E48" i="26"/>
  <c r="E13" i="26"/>
  <c r="E107" i="26"/>
  <c r="E39" i="26"/>
  <c r="E49" i="26"/>
  <c r="E58" i="26"/>
  <c r="E59" i="26"/>
  <c r="E99" i="26"/>
  <c r="E91" i="26"/>
  <c r="E87" i="26"/>
  <c r="E35" i="26"/>
  <c r="E51" i="26"/>
  <c r="E60" i="26"/>
  <c r="E21" i="26"/>
  <c r="E37" i="26"/>
  <c r="E61" i="26"/>
  <c r="E100" i="26"/>
  <c r="E14" i="26"/>
  <c r="E8" i="26"/>
  <c r="E94" i="26"/>
  <c r="E7" i="26"/>
  <c r="E63" i="26"/>
  <c r="E5" i="26"/>
  <c r="E26" i="26"/>
  <c r="E11" i="26"/>
  <c r="E79" i="26"/>
  <c r="E66" i="26"/>
  <c r="E52" i="26"/>
  <c r="E64" i="26"/>
  <c r="E65" i="26"/>
  <c r="E53" i="26"/>
  <c r="E6" i="26"/>
  <c r="E15" i="26"/>
  <c r="E67" i="26"/>
  <c r="E92" i="26"/>
  <c r="E36" i="26"/>
  <c r="E85" i="26"/>
  <c r="E89" i="26"/>
  <c r="E88" i="26"/>
  <c r="E32" i="26"/>
  <c r="E80" i="26"/>
  <c r="E108" i="26"/>
  <c r="E23" i="26"/>
  <c r="E68" i="26"/>
  <c r="E84" i="26"/>
  <c r="E76" i="26"/>
  <c r="E81" i="26"/>
  <c r="E30" i="26"/>
  <c r="E17" i="26"/>
  <c r="E27" i="26"/>
  <c r="E69" i="26"/>
  <c r="E70" i="26"/>
  <c r="E54" i="26"/>
  <c r="E20" i="26"/>
  <c r="E29" i="26"/>
  <c r="E18" i="26"/>
  <c r="E45" i="26"/>
  <c r="E9" i="26"/>
  <c r="E44" i="26"/>
  <c r="E41" i="26"/>
  <c r="E77" i="26"/>
  <c r="E33" i="26"/>
  <c r="E38" i="26"/>
  <c r="E71" i="26"/>
  <c r="E55" i="26"/>
  <c r="E78" i="26"/>
  <c r="E72" i="26"/>
  <c r="E86" i="26"/>
  <c r="E90" i="26"/>
  <c r="E101" i="26"/>
  <c r="E109" i="26"/>
  <c r="E102" i="26"/>
  <c r="E93" i="26"/>
  <c r="E73" i="26"/>
  <c r="E74" i="26"/>
  <c r="E95" i="26"/>
  <c r="E96" i="26"/>
  <c r="E75" i="26"/>
  <c r="E110" i="26"/>
  <c r="E34" i="26"/>
  <c r="E111" i="26"/>
  <c r="E106" i="26"/>
  <c r="E112" i="26"/>
  <c r="E25" i="26"/>
  <c r="E97" i="26"/>
  <c r="E82" i="26"/>
  <c r="E16" i="26"/>
  <c r="E113" i="26"/>
  <c r="E103" i="26"/>
  <c r="E104" i="26"/>
  <c r="E98" i="26"/>
  <c r="E105" i="26"/>
  <c r="E10" i="26"/>
  <c r="J3" i="26"/>
  <c r="I3" i="26"/>
  <c r="H3" i="26"/>
  <c r="G3" i="26"/>
  <c r="F3" i="26"/>
  <c r="K82" i="26"/>
  <c r="E74" i="22" s="1"/>
  <c r="L82" i="26"/>
  <c r="K16" i="26"/>
  <c r="E3" i="22" s="1"/>
  <c r="L16" i="26"/>
  <c r="K113" i="26"/>
  <c r="E110" i="22" s="1"/>
  <c r="L113" i="26"/>
  <c r="K103" i="26"/>
  <c r="E90" i="22" s="1"/>
  <c r="L103" i="26"/>
  <c r="K104" i="26"/>
  <c r="E91" i="22" s="1"/>
  <c r="L104" i="26"/>
  <c r="K98" i="26"/>
  <c r="E89" i="22" s="1"/>
  <c r="L98" i="26"/>
  <c r="K105" i="26"/>
  <c r="E87" i="22" s="1"/>
  <c r="L105" i="26"/>
  <c r="A82" i="26"/>
  <c r="A16" i="26"/>
  <c r="A113" i="26"/>
  <c r="A103" i="26"/>
  <c r="A104" i="26"/>
  <c r="A98" i="26"/>
  <c r="B98" i="26" s="1"/>
  <c r="A105" i="26"/>
  <c r="A94" i="26"/>
  <c r="K94" i="26"/>
  <c r="E94" i="22" s="1"/>
  <c r="L94" i="26"/>
  <c r="A61" i="26"/>
  <c r="K61" i="26"/>
  <c r="E67" i="22" s="1"/>
  <c r="L61" i="26"/>
  <c r="K57" i="26"/>
  <c r="E8" i="22" s="1"/>
  <c r="L57" i="26"/>
  <c r="A57" i="26"/>
  <c r="K45" i="26"/>
  <c r="E41" i="22" s="1"/>
  <c r="L45" i="26"/>
  <c r="K13" i="26"/>
  <c r="E2" i="22" s="1"/>
  <c r="L13" i="26"/>
  <c r="K80" i="26"/>
  <c r="L80" i="26"/>
  <c r="A45" i="26"/>
  <c r="A13" i="26"/>
  <c r="A80" i="26"/>
  <c r="K76" i="26"/>
  <c r="E71" i="22" s="1"/>
  <c r="K100" i="26"/>
  <c r="K55" i="26"/>
  <c r="K72" i="26"/>
  <c r="E65" i="22" s="1"/>
  <c r="K97" i="26"/>
  <c r="E83" i="22" s="1"/>
  <c r="K64" i="26"/>
  <c r="E60" i="22" s="1"/>
  <c r="K41" i="26"/>
  <c r="E37" i="22" s="1"/>
  <c r="K5" i="26"/>
  <c r="K107" i="26"/>
  <c r="K15" i="26"/>
  <c r="E10" i="22" s="1"/>
  <c r="K89" i="26"/>
  <c r="E97" i="22" s="1"/>
  <c r="K29" i="26"/>
  <c r="E16" i="22" s="1"/>
  <c r="K83" i="26"/>
  <c r="E76" i="22" s="1"/>
  <c r="K58" i="26"/>
  <c r="E43" i="22" s="1"/>
  <c r="K66" i="26"/>
  <c r="E61" i="22" s="1"/>
  <c r="K38" i="26"/>
  <c r="E45" i="22" s="1"/>
  <c r="K110" i="26"/>
  <c r="E107" i="22" s="1"/>
  <c r="K51" i="26"/>
  <c r="E49" i="22" s="1"/>
  <c r="K92" i="26"/>
  <c r="E95" i="22" s="1"/>
  <c r="K35" i="26"/>
  <c r="E36" i="22" s="1"/>
  <c r="K70" i="26"/>
  <c r="E63" i="22" s="1"/>
  <c r="K67" i="26"/>
  <c r="E62" i="22" s="1"/>
  <c r="I62" i="22" s="1"/>
  <c r="K39" i="26"/>
  <c r="E47" i="22" s="1"/>
  <c r="K10" i="26"/>
  <c r="E6" i="22" s="1"/>
  <c r="K56" i="26"/>
  <c r="K90" i="26"/>
  <c r="K106" i="26"/>
  <c r="E103" i="22" s="1"/>
  <c r="K85" i="26"/>
  <c r="E84" i="22" s="1"/>
  <c r="K8" i="26"/>
  <c r="E14" i="22" s="1"/>
  <c r="I14" i="22" s="1"/>
  <c r="K32" i="26"/>
  <c r="E40" i="22" s="1"/>
  <c r="K101" i="26"/>
  <c r="E101" i="22" s="1"/>
  <c r="K21" i="26"/>
  <c r="E75" i="22" s="1"/>
  <c r="K54" i="26"/>
  <c r="K36" i="26"/>
  <c r="E32" i="22" s="1"/>
  <c r="I32" i="22" s="1"/>
  <c r="K22" i="26"/>
  <c r="E18" i="22" s="1"/>
  <c r="K53" i="26"/>
  <c r="E56" i="22" s="1"/>
  <c r="I56" i="22" s="1"/>
  <c r="K17" i="26"/>
  <c r="E22" i="22" s="1"/>
  <c r="K102" i="26"/>
  <c r="E102" i="22" s="1"/>
  <c r="K65" i="26"/>
  <c r="E55" i="22" s="1"/>
  <c r="K91" i="26"/>
  <c r="E92" i="22" s="1"/>
  <c r="K7" i="26"/>
  <c r="E7" i="22" s="1"/>
  <c r="K63" i="26"/>
  <c r="E39" i="22" s="1"/>
  <c r="K27" i="26"/>
  <c r="E25" i="22" s="1"/>
  <c r="K25" i="26"/>
  <c r="E20" i="22" s="1"/>
  <c r="K30" i="26"/>
  <c r="E31" i="22" s="1"/>
  <c r="K95" i="26"/>
  <c r="E99" i="22" s="1"/>
  <c r="K86" i="26"/>
  <c r="E77" i="22" s="1"/>
  <c r="K77" i="26"/>
  <c r="E66" i="22" s="1"/>
  <c r="K112" i="26"/>
  <c r="K12" i="26"/>
  <c r="K48" i="26"/>
  <c r="E69" i="22" s="1"/>
  <c r="K46" i="26"/>
  <c r="E52" i="22" s="1"/>
  <c r="K40" i="26"/>
  <c r="E13" i="22" s="1"/>
  <c r="K11" i="26"/>
  <c r="E24" i="22" s="1"/>
  <c r="K59" i="26"/>
  <c r="E35" i="22" s="1"/>
  <c r="K62" i="26"/>
  <c r="E54" i="22" s="1"/>
  <c r="K87" i="26"/>
  <c r="E88" i="22" s="1"/>
  <c r="I88" i="22" s="1"/>
  <c r="K60" i="26"/>
  <c r="E59" i="22" s="1"/>
  <c r="K43" i="26"/>
  <c r="E48" i="22" s="1"/>
  <c r="K74" i="26"/>
  <c r="E78" i="22" s="1"/>
  <c r="K109" i="26"/>
  <c r="K93" i="26"/>
  <c r="E98" i="22" s="1"/>
  <c r="K75" i="26"/>
  <c r="E70" i="22" s="1"/>
  <c r="K81" i="26"/>
  <c r="E82" i="22" s="1"/>
  <c r="K69" i="26"/>
  <c r="E51" i="22" s="1"/>
  <c r="K88" i="26"/>
  <c r="E86" i="22" s="1"/>
  <c r="K71" i="26"/>
  <c r="E64" i="22" s="1"/>
  <c r="K20" i="26"/>
  <c r="E73" i="22" s="1"/>
  <c r="K31" i="26"/>
  <c r="E33" i="22" s="1"/>
  <c r="K28" i="26"/>
  <c r="E17" i="22" s="1"/>
  <c r="K84" i="26"/>
  <c r="E80" i="22" s="1"/>
  <c r="K23" i="26"/>
  <c r="E26" i="22" s="1"/>
  <c r="I26" i="22" s="1"/>
  <c r="K111" i="26"/>
  <c r="K37" i="26"/>
  <c r="K52" i="26"/>
  <c r="E50" i="22" s="1"/>
  <c r="I50" i="22" s="1"/>
  <c r="K42" i="26"/>
  <c r="E81" i="22" s="1"/>
  <c r="I81" i="22" s="1"/>
  <c r="K14" i="26"/>
  <c r="E21" i="22" s="1"/>
  <c r="K9" i="26"/>
  <c r="E9" i="22" s="1"/>
  <c r="K96" i="26"/>
  <c r="K24" i="26"/>
  <c r="K33" i="26"/>
  <c r="E42" i="22" s="1"/>
  <c r="K47" i="26"/>
  <c r="E15" i="22" s="1"/>
  <c r="K6" i="26"/>
  <c r="E5" i="22" s="1"/>
  <c r="K78" i="26"/>
  <c r="E68" i="22" s="1"/>
  <c r="I68" i="22" s="1"/>
  <c r="K19" i="26"/>
  <c r="E28" i="22" s="1"/>
  <c r="K50" i="26"/>
  <c r="K44" i="26"/>
  <c r="K18" i="26"/>
  <c r="E11" i="22" s="1"/>
  <c r="K79" i="26"/>
  <c r="E23" i="22" s="1"/>
  <c r="K34" i="26"/>
  <c r="E58" i="22" s="1"/>
  <c r="K49" i="26"/>
  <c r="E34" i="22" s="1"/>
  <c r="K108" i="26"/>
  <c r="E105" i="22" s="1"/>
  <c r="K99" i="26"/>
  <c r="E96" i="22" s="1"/>
  <c r="K73" i="26"/>
  <c r="E72" i="22" s="1"/>
  <c r="K26" i="26"/>
  <c r="E30" i="22" s="1"/>
  <c r="K68" i="26"/>
  <c r="E44" i="22" s="1"/>
  <c r="L9" i="26"/>
  <c r="L23" i="26"/>
  <c r="L84" i="26"/>
  <c r="L56" i="26"/>
  <c r="A9" i="26"/>
  <c r="A23" i="26"/>
  <c r="A84" i="26"/>
  <c r="A56" i="26"/>
  <c r="A35" i="26"/>
  <c r="A72" i="26"/>
  <c r="A101" i="26"/>
  <c r="A17" i="26"/>
  <c r="A95" i="26"/>
  <c r="A48" i="26"/>
  <c r="A109" i="26"/>
  <c r="A31" i="26"/>
  <c r="A111" i="26"/>
  <c r="A24" i="26"/>
  <c r="A33" i="26"/>
  <c r="A49" i="26"/>
  <c r="A99" i="26"/>
  <c r="A91" i="26"/>
  <c r="A63" i="26"/>
  <c r="A25" i="26"/>
  <c r="A93" i="26"/>
  <c r="A47" i="26"/>
  <c r="A10" i="26"/>
  <c r="A64" i="26"/>
  <c r="A97" i="26"/>
  <c r="A21" i="26"/>
  <c r="A100" i="26"/>
  <c r="A59" i="26"/>
  <c r="A79" i="26"/>
  <c r="A112" i="26"/>
  <c r="A62" i="26"/>
  <c r="A15" i="26"/>
  <c r="A74" i="26"/>
  <c r="A32" i="26"/>
  <c r="A86" i="26"/>
  <c r="A102" i="26"/>
  <c r="A73" i="26"/>
  <c r="A19" i="26"/>
  <c r="A46" i="26"/>
  <c r="A30" i="26"/>
  <c r="A90" i="26"/>
  <c r="A11" i="26"/>
  <c r="A20" i="26"/>
  <c r="A7" i="26"/>
  <c r="A107" i="26"/>
  <c r="A18" i="26"/>
  <c r="A106" i="26"/>
  <c r="A6" i="26"/>
  <c r="A78" i="26"/>
  <c r="A69" i="26"/>
  <c r="A83" i="26"/>
  <c r="A96" i="26"/>
  <c r="A65" i="26"/>
  <c r="A75" i="26"/>
  <c r="A87" i="26"/>
  <c r="A92" i="26"/>
  <c r="A81" i="26"/>
  <c r="A26" i="26"/>
  <c r="A5" i="26"/>
  <c r="A40" i="26"/>
  <c r="A8" i="26"/>
  <c r="A85" i="26"/>
  <c r="A14" i="26"/>
  <c r="A54" i="26"/>
  <c r="A12" i="26"/>
  <c r="A36" i="26"/>
  <c r="A70" i="26"/>
  <c r="A76" i="26"/>
  <c r="A108" i="26"/>
  <c r="A88" i="26"/>
  <c r="A68" i="26"/>
  <c r="A39" i="26"/>
  <c r="A28" i="26"/>
  <c r="A50" i="26"/>
  <c r="A58" i="26"/>
  <c r="A53" i="26"/>
  <c r="A22" i="26"/>
  <c r="A42" i="26"/>
  <c r="A29" i="26"/>
  <c r="A52" i="26"/>
  <c r="A77" i="26"/>
  <c r="A27" i="26"/>
  <c r="A67" i="26"/>
  <c r="A71" i="26"/>
  <c r="A110" i="26"/>
  <c r="A89" i="26"/>
  <c r="A43" i="26"/>
  <c r="A60" i="26"/>
  <c r="A37" i="26"/>
  <c r="A38" i="26"/>
  <c r="A51" i="26"/>
  <c r="A34" i="26"/>
  <c r="A55" i="26"/>
  <c r="A44" i="26"/>
  <c r="A66" i="26"/>
  <c r="A41" i="26"/>
  <c r="I85" i="22" l="1"/>
  <c r="I38" i="22"/>
  <c r="I6" i="22"/>
  <c r="I110" i="22"/>
  <c r="I103" i="22"/>
  <c r="I99" i="22"/>
  <c r="I101" i="22"/>
  <c r="I64" i="22"/>
  <c r="I9" i="22"/>
  <c r="I63" i="22"/>
  <c r="I71" i="22"/>
  <c r="I40" i="22"/>
  <c r="I61" i="22"/>
  <c r="I39" i="22"/>
  <c r="I67" i="22"/>
  <c r="I47" i="22"/>
  <c r="I33" i="22"/>
  <c r="I18" i="22"/>
  <c r="I52" i="22"/>
  <c r="I3" i="22"/>
  <c r="I78" i="22"/>
  <c r="I45" i="22"/>
  <c r="I41" i="22"/>
  <c r="I51" i="22"/>
  <c r="I80" i="22"/>
  <c r="I86" i="22"/>
  <c r="I10" i="22"/>
  <c r="I13" i="22"/>
  <c r="I7" i="22"/>
  <c r="I87" i="22"/>
  <c r="I74" i="22"/>
  <c r="I58" i="22"/>
  <c r="I72" i="22"/>
  <c r="I77" i="22"/>
  <c r="I42" i="22"/>
  <c r="I11" i="22"/>
  <c r="I25" i="22"/>
  <c r="I44" i="22"/>
  <c r="I97" i="22"/>
  <c r="I5" i="22"/>
  <c r="I23" i="22"/>
  <c r="I54" i="22"/>
  <c r="I75" i="22"/>
  <c r="I95" i="22"/>
  <c r="I92" i="22"/>
  <c r="I8" i="22"/>
  <c r="I89" i="22"/>
  <c r="I83" i="22"/>
  <c r="I107" i="22"/>
  <c r="I98" i="22"/>
  <c r="I65" i="22"/>
  <c r="I66" i="22"/>
  <c r="I16" i="22"/>
  <c r="I22" i="22"/>
  <c r="I84" i="22"/>
  <c r="I24" i="22"/>
  <c r="I59" i="22"/>
  <c r="I35" i="22"/>
  <c r="I69" i="22"/>
  <c r="I96" i="22"/>
  <c r="I17" i="22"/>
  <c r="I91" i="22"/>
  <c r="I20" i="22"/>
  <c r="I70" i="22"/>
  <c r="I102" i="22"/>
  <c r="I37" i="22"/>
  <c r="I73" i="22"/>
  <c r="I31" i="22"/>
  <c r="I105" i="22"/>
  <c r="I55" i="22"/>
  <c r="I30" i="22"/>
  <c r="I21" i="22"/>
  <c r="I49" i="22"/>
  <c r="I43" i="22"/>
  <c r="I48" i="22"/>
  <c r="I28" i="22"/>
  <c r="I15" i="22"/>
  <c r="I90" i="22"/>
  <c r="I82" i="22"/>
  <c r="I60" i="22"/>
  <c r="I36" i="22"/>
  <c r="I34" i="22"/>
  <c r="I94" i="22"/>
  <c r="I76" i="22"/>
  <c r="B113" i="26"/>
  <c r="B16" i="26"/>
  <c r="B105" i="26"/>
  <c r="B82" i="26"/>
  <c r="E3" i="26"/>
  <c r="M98" i="26" a="1"/>
  <c r="M98" i="26" s="1"/>
  <c r="M113" i="26" a="1"/>
  <c r="M113" i="26" s="1"/>
  <c r="M104" i="26" a="1"/>
  <c r="M104" i="26" s="1"/>
  <c r="M16" i="26" a="1"/>
  <c r="M16" i="26" s="1"/>
  <c r="M105" i="26" a="1"/>
  <c r="M105" i="26" s="1"/>
  <c r="M103" i="26" a="1"/>
  <c r="M103" i="26" s="1"/>
  <c r="M82" i="26" a="1"/>
  <c r="M82" i="26" s="1"/>
  <c r="B104" i="26"/>
  <c r="B103" i="26"/>
  <c r="B94" i="26"/>
  <c r="B61" i="26"/>
  <c r="M94" i="26" a="1"/>
  <c r="M94" i="26" s="1"/>
  <c r="M61" i="26" a="1"/>
  <c r="M61" i="26" s="1"/>
  <c r="B57" i="26"/>
  <c r="M57" i="26" a="1"/>
  <c r="M57" i="26" s="1"/>
  <c r="B45" i="26"/>
  <c r="B80" i="26"/>
  <c r="M13" i="26" a="1"/>
  <c r="M13" i="26" s="1"/>
  <c r="M45" i="26" a="1"/>
  <c r="M45" i="26" s="1"/>
  <c r="M80" i="26" a="1"/>
  <c r="M80" i="26" s="1"/>
  <c r="B13" i="26"/>
  <c r="B84" i="26"/>
  <c r="M84" i="26" a="1"/>
  <c r="M84" i="26" s="1"/>
  <c r="B23" i="26"/>
  <c r="M23" i="26" a="1"/>
  <c r="M23" i="26" s="1"/>
  <c r="B9" i="26"/>
  <c r="M9" i="26" a="1"/>
  <c r="M9" i="26" s="1"/>
  <c r="M56" i="26" a="1"/>
  <c r="M56" i="26" s="1"/>
  <c r="B56" i="26"/>
  <c r="L79" i="26"/>
  <c r="B79" i="26" l="1"/>
  <c r="M79" i="26" a="1"/>
  <c r="M79" i="26" s="1"/>
  <c r="L59" i="26" l="1"/>
  <c r="B59" i="26" l="1"/>
  <c r="M59" i="26" a="1"/>
  <c r="M59" i="26" s="1"/>
  <c r="L108" i="26" l="1"/>
  <c r="M108" i="26" l="1" a="1"/>
  <c r="M108" i="26" s="1"/>
  <c r="B108" i="26"/>
  <c r="L102" i="26" l="1"/>
  <c r="M102" i="26" l="1" a="1"/>
  <c r="M102" i="26" s="1"/>
  <c r="B102" i="26"/>
  <c r="L100" i="26" l="1"/>
  <c r="B100" i="26" l="1"/>
  <c r="M100" i="26" a="1"/>
  <c r="M100" i="26" s="1"/>
  <c r="L21" i="26" l="1"/>
  <c r="B21" i="26" l="1"/>
  <c r="M21" i="26" a="1"/>
  <c r="M21" i="26" s="1"/>
  <c r="L97" i="26" l="1"/>
  <c r="B97" i="26" l="1"/>
  <c r="M97" i="26" a="1"/>
  <c r="M97" i="26" s="1"/>
  <c r="L64" i="26" l="1"/>
  <c r="M64" i="26" l="1" a="1"/>
  <c r="M64" i="26" s="1"/>
  <c r="B64" i="26"/>
  <c r="L10" i="26" l="1"/>
  <c r="M10" i="26" l="1" a="1"/>
  <c r="M10" i="26" s="1"/>
  <c r="B10" i="26"/>
  <c r="L15" i="26" l="1"/>
  <c r="M15" i="26" l="1" a="1"/>
  <c r="M15" i="26" s="1"/>
  <c r="B15" i="26"/>
  <c r="L47" i="26" l="1"/>
  <c r="B47" i="26" l="1"/>
  <c r="M47" i="26" a="1"/>
  <c r="M47" i="26" s="1"/>
  <c r="L93" i="26" l="1"/>
  <c r="M93" i="26" l="1" a="1"/>
  <c r="M93" i="26" s="1"/>
  <c r="B93" i="26"/>
  <c r="L62" i="26" l="1"/>
  <c r="B62" i="26" l="1"/>
  <c r="M62" i="26" a="1"/>
  <c r="M62" i="26" s="1"/>
  <c r="L86" i="26" l="1"/>
  <c r="M86" i="26" l="1" a="1"/>
  <c r="M86" i="26" s="1"/>
  <c r="B86" i="26"/>
  <c r="L25" i="26" l="1"/>
  <c r="M25" i="26" l="1" a="1"/>
  <c r="M25" i="26" s="1"/>
  <c r="B25" i="26"/>
  <c r="L63" i="26" l="1"/>
  <c r="B63" i="26" l="1"/>
  <c r="M63" i="26" a="1"/>
  <c r="M63" i="26" s="1"/>
  <c r="L91" i="26" l="1"/>
  <c r="B91" i="26" l="1"/>
  <c r="M91" i="26" a="1"/>
  <c r="M91" i="26" s="1"/>
  <c r="L83" i="26" l="1"/>
  <c r="M83" i="26" l="1" a="1"/>
  <c r="M83" i="26" s="1"/>
  <c r="B83" i="26"/>
  <c r="L99" i="26" l="1"/>
  <c r="M99" i="26" l="1" a="1"/>
  <c r="M99" i="26" s="1"/>
  <c r="B99" i="26"/>
  <c r="L49" i="26" l="1"/>
  <c r="B49" i="26" l="1"/>
  <c r="M49" i="26" a="1"/>
  <c r="M49" i="26" s="1"/>
  <c r="L50" i="26" l="1"/>
  <c r="M50" i="26" l="1" a="1"/>
  <c r="M50" i="26" s="1"/>
  <c r="B50" i="26"/>
  <c r="L78" i="26" l="1"/>
  <c r="M78" i="26" l="1" a="1"/>
  <c r="M78" i="26" s="1"/>
  <c r="B78" i="26"/>
  <c r="L33" i="26" l="1"/>
  <c r="B33" i="26" l="1"/>
  <c r="M33" i="26" a="1"/>
  <c r="M33" i="26" s="1"/>
  <c r="L24" i="26" l="1"/>
  <c r="M24" i="26" l="1" a="1"/>
  <c r="M24" i="26" s="1"/>
  <c r="B24" i="26"/>
  <c r="L111" i="26" l="1"/>
  <c r="B111" i="26" l="1"/>
  <c r="M111" i="26" a="1"/>
  <c r="M111" i="26" s="1"/>
  <c r="L31" i="26" l="1"/>
  <c r="B31" i="26" l="1"/>
  <c r="M31" i="26" a="1"/>
  <c r="M31" i="26" s="1"/>
  <c r="L109" i="26" l="1"/>
  <c r="M109" i="26" l="1" a="1"/>
  <c r="M109" i="26" s="1"/>
  <c r="B109" i="26"/>
  <c r="L43" i="26" l="1"/>
  <c r="M43" i="26" l="1" a="1"/>
  <c r="M43" i="26" s="1"/>
  <c r="B43" i="26"/>
  <c r="L46" i="26" l="1"/>
  <c r="M46" i="26" l="1" a="1"/>
  <c r="M46" i="26" s="1"/>
  <c r="B46" i="26"/>
  <c r="L48" i="26" l="1"/>
  <c r="B48" i="26" l="1"/>
  <c r="M48" i="26" a="1"/>
  <c r="M48" i="26" s="1"/>
  <c r="L95" i="26" l="1"/>
  <c r="M95" i="26" l="1" a="1"/>
  <c r="M95" i="26" s="1"/>
  <c r="B95" i="26"/>
  <c r="L30" i="26" l="1"/>
  <c r="B30" i="26" l="1"/>
  <c r="M30" i="26" a="1"/>
  <c r="M30" i="26" s="1"/>
  <c r="L17" i="26" l="1"/>
  <c r="M17" i="26" l="1" a="1"/>
  <c r="M17" i="26" s="1"/>
  <c r="B17" i="26"/>
  <c r="L22" i="26" l="1"/>
  <c r="B22" i="26" l="1"/>
  <c r="M22" i="26" a="1"/>
  <c r="M22" i="26" s="1"/>
  <c r="L101" i="26" l="1"/>
  <c r="M101" i="26" l="1" a="1"/>
  <c r="M101" i="26" s="1"/>
  <c r="B101" i="26"/>
  <c r="L72" i="26" l="1"/>
  <c r="M72" i="26" l="1" a="1"/>
  <c r="M72" i="26" s="1"/>
  <c r="B72" i="26"/>
  <c r="L85" i="26" l="1"/>
  <c r="B85" i="26" l="1"/>
  <c r="M85" i="26" a="1"/>
  <c r="M85" i="26" s="1"/>
  <c r="L35" i="26" l="1"/>
  <c r="M35" i="26" l="1" a="1"/>
  <c r="M35" i="26" s="1"/>
  <c r="B35" i="26"/>
  <c r="L107" i="26" l="1"/>
  <c r="B107" i="26" l="1"/>
  <c r="M107" i="26" a="1"/>
  <c r="M107" i="26" s="1"/>
  <c r="L5" i="26" l="1"/>
  <c r="B5" i="26" l="1"/>
  <c r="M5" i="26" a="1"/>
  <c r="M5" i="26" s="1"/>
  <c r="L41" i="26" l="1"/>
  <c r="B41" i="26" l="1"/>
  <c r="M41" i="26" a="1"/>
  <c r="M41" i="26" s="1"/>
  <c r="L32" i="26" l="1"/>
  <c r="B32" i="26" l="1"/>
  <c r="M32" i="26" a="1"/>
  <c r="M32" i="26" s="1"/>
  <c r="L55" i="26" l="1"/>
  <c r="B55" i="26" l="1"/>
  <c r="M55" i="26" a="1"/>
  <c r="M55" i="26" s="1"/>
  <c r="L58" i="26" l="1"/>
  <c r="B58" i="26" l="1"/>
  <c r="M58" i="26" a="1"/>
  <c r="M58" i="26" s="1"/>
  <c r="L26" i="26" l="1"/>
  <c r="M26" i="26" l="1" a="1"/>
  <c r="M26" i="26" s="1"/>
  <c r="B26" i="26"/>
  <c r="L75" i="26" l="1"/>
  <c r="M75" i="26" l="1" a="1"/>
  <c r="M75" i="26" s="1"/>
  <c r="B75" i="26"/>
  <c r="L7" i="26" l="1"/>
  <c r="M7" i="26" l="1" a="1"/>
  <c r="M7" i="26" s="1"/>
  <c r="B7" i="26"/>
  <c r="L53" i="26" l="1"/>
  <c r="M53" i="26" l="1" a="1"/>
  <c r="M53" i="26" s="1"/>
  <c r="B53" i="26"/>
  <c r="L92" i="26" l="1"/>
  <c r="B92" i="26" l="1"/>
  <c r="M92" i="26" a="1"/>
  <c r="M92" i="26" s="1"/>
  <c r="L51" i="26" l="1"/>
  <c r="B51" i="26" l="1"/>
  <c r="M51" i="26" a="1"/>
  <c r="M51" i="26" s="1"/>
  <c r="L40" i="26" l="1"/>
  <c r="B40" i="26" l="1"/>
  <c r="M40" i="26" a="1"/>
  <c r="M40" i="26" s="1"/>
  <c r="L18" i="26" l="1"/>
  <c r="M18" i="26" l="1" a="1"/>
  <c r="M18" i="26" s="1"/>
  <c r="B18" i="26"/>
  <c r="L44" i="26" l="1"/>
  <c r="B44" i="26" l="1"/>
  <c r="M44" i="26" a="1"/>
  <c r="M44" i="26" s="1"/>
  <c r="L96" i="26" l="1"/>
  <c r="M96" i="26" l="1" a="1"/>
  <c r="M96" i="26" s="1"/>
  <c r="B96" i="26"/>
  <c r="L52" i="26" l="1"/>
  <c r="M52" i="26" l="1" a="1"/>
  <c r="M52" i="26" s="1"/>
  <c r="B52" i="26"/>
  <c r="L11" i="26" l="1"/>
  <c r="M11" i="26" l="1" a="1"/>
  <c r="M11" i="26" s="1"/>
  <c r="B11" i="26"/>
  <c r="L112" i="26" l="1"/>
  <c r="B112" i="26" l="1"/>
  <c r="M112" i="26" a="1"/>
  <c r="M112" i="26" s="1"/>
  <c r="L90" i="26" l="1"/>
  <c r="M90" i="26" l="1" a="1"/>
  <c r="M90" i="26" s="1"/>
  <c r="B90" i="26"/>
  <c r="L70" i="26" l="1"/>
  <c r="B70" i="26" l="1"/>
  <c r="M70" i="26" a="1"/>
  <c r="M70" i="26" s="1"/>
  <c r="L38" i="26" l="1"/>
  <c r="B38" i="26" l="1"/>
  <c r="M38" i="26" a="1"/>
  <c r="M38" i="26" s="1"/>
  <c r="L29" i="26" l="1"/>
  <c r="B29" i="26" l="1"/>
  <c r="M29" i="26" a="1"/>
  <c r="M29" i="26" s="1"/>
  <c r="L89" i="26" l="1"/>
  <c r="B89" i="26" l="1"/>
  <c r="M89" i="26" a="1"/>
  <c r="M89" i="26" s="1"/>
  <c r="L68" i="26" l="1"/>
  <c r="B68" i="26" l="1"/>
  <c r="M68" i="26" a="1"/>
  <c r="M68" i="26" s="1"/>
  <c r="L20" i="26" l="1"/>
  <c r="B20" i="26" l="1"/>
  <c r="M20" i="26" a="1"/>
  <c r="M20" i="26" s="1"/>
  <c r="L69" i="26" l="1"/>
  <c r="M69" i="26" l="1" a="1"/>
  <c r="M69" i="26" s="1"/>
  <c r="B69" i="26"/>
  <c r="L76" i="26" l="1"/>
  <c r="B76" i="26" l="1"/>
  <c r="M76" i="26" a="1"/>
  <c r="M76" i="26" s="1"/>
  <c r="L87" i="26" l="1"/>
  <c r="B87" i="26" l="1"/>
  <c r="M87" i="26" a="1"/>
  <c r="M87" i="26" s="1"/>
  <c r="L66" i="26" l="1"/>
  <c r="M66" i="26" l="1" a="1"/>
  <c r="M66" i="26" s="1"/>
  <c r="B66" i="26"/>
  <c r="L110" i="26" l="1"/>
  <c r="M110" i="26" l="1" a="1"/>
  <c r="M110" i="26" s="1"/>
  <c r="B110" i="26"/>
  <c r="L34" i="26" l="1"/>
  <c r="M34" i="26" l="1" a="1"/>
  <c r="M34" i="26" s="1"/>
  <c r="B34" i="26"/>
  <c r="L19" i="26" l="1"/>
  <c r="B19" i="26" l="1"/>
  <c r="M19" i="26" a="1"/>
  <c r="M19" i="26" s="1"/>
  <c r="L37" i="26" l="1"/>
  <c r="M37" i="26" l="1" a="1"/>
  <c r="M37" i="26" s="1"/>
  <c r="B37" i="26"/>
  <c r="L88" i="26" l="1"/>
  <c r="B88" i="26" l="1"/>
  <c r="M88" i="26" a="1"/>
  <c r="M88" i="26" s="1"/>
  <c r="L60" i="26" l="1"/>
  <c r="B60" i="26" l="1"/>
  <c r="M60" i="26" a="1"/>
  <c r="M60" i="26" s="1"/>
  <c r="L77" i="26" l="1"/>
  <c r="B77" i="26" l="1"/>
  <c r="M77" i="26" a="1"/>
  <c r="M77" i="26" s="1"/>
  <c r="L27" i="26" l="1"/>
  <c r="B27" i="26" l="1"/>
  <c r="M27" i="26" a="1"/>
  <c r="M27" i="26" s="1"/>
  <c r="L39" i="26" l="1"/>
  <c r="B39" i="26" l="1"/>
  <c r="M39" i="26" a="1"/>
  <c r="M39" i="26" s="1"/>
  <c r="L14" i="26" l="1"/>
  <c r="M14" i="26" l="1" a="1"/>
  <c r="M14" i="26" s="1"/>
  <c r="B14" i="26"/>
  <c r="L74" i="26" l="1"/>
  <c r="M74" i="26" l="1" a="1"/>
  <c r="M74" i="26" s="1"/>
  <c r="B74" i="26"/>
  <c r="L12" i="26" l="1"/>
  <c r="B12" i="26" l="1"/>
  <c r="M12" i="26" a="1"/>
  <c r="M12" i="26" s="1"/>
  <c r="L65" i="26" l="1"/>
  <c r="B65" i="26" l="1"/>
  <c r="M65" i="26" a="1"/>
  <c r="M65" i="26" s="1"/>
  <c r="L36" i="26" l="1"/>
  <c r="B36" i="26" l="1"/>
  <c r="M36" i="26" a="1"/>
  <c r="M36" i="26" s="1"/>
  <c r="L54" i="26" l="1"/>
  <c r="M54" i="26" l="1" a="1"/>
  <c r="M54" i="26" s="1"/>
  <c r="B54" i="26"/>
  <c r="L67" i="26" l="1"/>
  <c r="B67" i="26" l="1"/>
  <c r="M67" i="26" a="1"/>
  <c r="M67" i="26" s="1"/>
  <c r="L71" i="26" l="1"/>
  <c r="B71" i="26" l="1"/>
  <c r="M71" i="26" a="1"/>
  <c r="M71" i="26" s="1"/>
  <c r="L73" i="26" l="1"/>
  <c r="M73" i="26" l="1" a="1"/>
  <c r="M73" i="26" s="1"/>
  <c r="B73" i="26"/>
  <c r="L6" i="26" l="1"/>
  <c r="M6" i="26" l="1" a="1"/>
  <c r="M6" i="26" s="1"/>
  <c r="B6" i="26"/>
  <c r="L28" i="26" l="1"/>
  <c r="B28" i="26" l="1"/>
  <c r="M28" i="26" a="1"/>
  <c r="M28" i="26" s="1"/>
  <c r="L81" i="26" l="1"/>
  <c r="M81" i="26" l="1" a="1"/>
  <c r="M81" i="26" s="1"/>
  <c r="B81" i="26"/>
  <c r="L8" i="26" l="1"/>
  <c r="I2" i="22" l="1"/>
  <c r="B8" i="26"/>
  <c r="M8" i="26" a="1"/>
  <c r="M8" i="26" s="1"/>
  <c r="L106" i="26" l="1"/>
  <c r="M106" i="26" l="1" a="1"/>
  <c r="M106" i="26" s="1"/>
  <c r="B106" i="26"/>
  <c r="L42" i="26" l="1"/>
  <c r="B42" i="26" l="1"/>
  <c r="M42" i="26" a="1"/>
  <c r="M42" i="2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<sst xmlns="http://schemas.openxmlformats.org/spreadsheetml/2006/main" count="1332" uniqueCount="201">
  <si>
    <t>Nombre</t>
  </si>
  <si>
    <t>Total</t>
  </si>
  <si>
    <t>Status</t>
  </si>
  <si>
    <t>Cuota Diaria</t>
  </si>
  <si>
    <t>Total Semanal</t>
  </si>
  <si>
    <t>Debe/No debe</t>
  </si>
  <si>
    <t>SoNy5</t>
  </si>
  <si>
    <t>NOMBRE</t>
  </si>
  <si>
    <t>#</t>
  </si>
  <si>
    <t>Total Mobs lvl 1</t>
  </si>
  <si>
    <t>Total Mobs lvl 2</t>
  </si>
  <si>
    <t>Total Mobs lvl 3</t>
  </si>
  <si>
    <t>Total Mobs lvl 4</t>
  </si>
  <si>
    <t>Total Mobs lvl 5</t>
  </si>
  <si>
    <t>Fecha de Reporte</t>
  </si>
  <si>
    <t>Puntos</t>
  </si>
  <si>
    <t>Fecha Reporte</t>
  </si>
  <si>
    <t>FOODmil</t>
  </si>
  <si>
    <t>K4K4SH1009</t>
  </si>
  <si>
    <t>Brandon 22</t>
  </si>
  <si>
    <t>Ladie Jeni</t>
  </si>
  <si>
    <t>Puntos Nvl 2</t>
  </si>
  <si>
    <t>Puntos Nvl 1</t>
  </si>
  <si>
    <t>Cuota</t>
  </si>
  <si>
    <t>AGUIRRE1</t>
  </si>
  <si>
    <t>AGUIRRE1992</t>
  </si>
  <si>
    <t>Asterix I</t>
  </si>
  <si>
    <t>Barometrix</t>
  </si>
  <si>
    <t>Panoramix I</t>
  </si>
  <si>
    <t>Abraracurcix</t>
  </si>
  <si>
    <t>Obelix I</t>
  </si>
  <si>
    <t>jenmm</t>
  </si>
  <si>
    <t>xHulkBusterx</t>
  </si>
  <si>
    <t>Santyy01</t>
  </si>
  <si>
    <t>Atlas7770</t>
  </si>
  <si>
    <t>Deshuesado</t>
  </si>
  <si>
    <t>Vegueta 69</t>
  </si>
  <si>
    <t>vegueta blu2</t>
  </si>
  <si>
    <t>Viiktor I</t>
  </si>
  <si>
    <t>xJokerx TH</t>
  </si>
  <si>
    <t>xkaigaku7x</t>
  </si>
  <si>
    <t>xTOMI0KAx</t>
  </si>
  <si>
    <t>MORETHANLIFE</t>
  </si>
  <si>
    <t>yoshi tecojo</t>
  </si>
  <si>
    <t>ALMORO 00</t>
  </si>
  <si>
    <t>Neitan05</t>
  </si>
  <si>
    <t>NotLife2</t>
  </si>
  <si>
    <t>No cumplio</t>
  </si>
  <si>
    <t>Mini jhon5</t>
  </si>
  <si>
    <t>Th3 Bl4Ck</t>
  </si>
  <si>
    <t>Debe</t>
  </si>
  <si>
    <t>Mob1</t>
  </si>
  <si>
    <t>Mob2</t>
  </si>
  <si>
    <t>Mob3</t>
  </si>
  <si>
    <t>Mob4</t>
  </si>
  <si>
    <t>Mob5</t>
  </si>
  <si>
    <t>Numero</t>
  </si>
  <si>
    <t>IGG ID</t>
  </si>
  <si>
    <t>Almoro01</t>
  </si>
  <si>
    <t>Almoro02</t>
  </si>
  <si>
    <t>jhon solano</t>
  </si>
  <si>
    <t>x Micaela x</t>
  </si>
  <si>
    <t>Puntos x cumplir</t>
  </si>
  <si>
    <t>ID</t>
  </si>
  <si>
    <t>Hotspot 2</t>
  </si>
  <si>
    <t>Nicki007</t>
  </si>
  <si>
    <t>Pabellon</t>
  </si>
  <si>
    <t>xScooby Doo</t>
  </si>
  <si>
    <t>Abelino</t>
  </si>
  <si>
    <t>eltoga</t>
  </si>
  <si>
    <t>Stuart jr</t>
  </si>
  <si>
    <t>FALCON221</t>
  </si>
  <si>
    <t>ins4n3 TH</t>
  </si>
  <si>
    <t>K4K4SHI009</t>
  </si>
  <si>
    <t>TH Faker</t>
  </si>
  <si>
    <t>DRAKEN13TH</t>
  </si>
  <si>
    <t>IVANCITOTH</t>
  </si>
  <si>
    <t>mini good TH</t>
  </si>
  <si>
    <t>MiniFaker TH</t>
  </si>
  <si>
    <t>N I C O TH</t>
  </si>
  <si>
    <t>pabellon</t>
  </si>
  <si>
    <t>STUART1318TH</t>
  </si>
  <si>
    <t>tetona</t>
  </si>
  <si>
    <t>TH Anteiku</t>
  </si>
  <si>
    <t>TH NotLife</t>
  </si>
  <si>
    <t>TH xJokerx</t>
  </si>
  <si>
    <t>Vegueta blu</t>
  </si>
  <si>
    <t>ZADKIEL13 TH</t>
  </si>
  <si>
    <t>5lvl2</t>
  </si>
  <si>
    <t>CrakSoder25</t>
  </si>
  <si>
    <t>Dpoolll TH</t>
  </si>
  <si>
    <t>takamura AQP</t>
  </si>
  <si>
    <t>DRACONIAN83</t>
  </si>
  <si>
    <t>Nino18</t>
  </si>
  <si>
    <t>XxtatuxX</t>
  </si>
  <si>
    <t>xXAfrodltaXx</t>
  </si>
  <si>
    <t>El Guti26</t>
  </si>
  <si>
    <t>lZvG Warasl</t>
  </si>
  <si>
    <t>IGGID</t>
  </si>
  <si>
    <t>Slayer TH</t>
  </si>
  <si>
    <t>ReySparta</t>
  </si>
  <si>
    <t>M3GA6</t>
  </si>
  <si>
    <t>Z3R06</t>
  </si>
  <si>
    <t>Nino2</t>
  </si>
  <si>
    <t>Atlas55555</t>
  </si>
  <si>
    <t>DIEGO03 II</t>
  </si>
  <si>
    <t>Bank TH 1</t>
  </si>
  <si>
    <t>Misiones completadas</t>
  </si>
  <si>
    <t>Misiones tomadas</t>
  </si>
  <si>
    <t>Cumplio</t>
  </si>
  <si>
    <t>5lvl1</t>
  </si>
  <si>
    <t>XxArtemisaXx</t>
  </si>
  <si>
    <t>CHACHO 78</t>
  </si>
  <si>
    <t>X ANDALUCI X</t>
  </si>
  <si>
    <t>X BAILEN X</t>
  </si>
  <si>
    <t>XXGAELICOXX</t>
  </si>
  <si>
    <t>Anonymous</t>
  </si>
  <si>
    <t>cafecitofrio</t>
  </si>
  <si>
    <t>Blurdomking</t>
  </si>
  <si>
    <t>CONDEgatula</t>
  </si>
  <si>
    <t>Gengar237</t>
  </si>
  <si>
    <t>Juanjojjp</t>
  </si>
  <si>
    <t>Maxi D</t>
  </si>
  <si>
    <t>No Soy Bro</t>
  </si>
  <si>
    <t>pegasotenma</t>
  </si>
  <si>
    <t>Vampyro3xxx</t>
  </si>
  <si>
    <t>ZOOMBI3XX</t>
  </si>
  <si>
    <t>ABSmadresYOU</t>
  </si>
  <si>
    <t>BK Juanjo</t>
  </si>
  <si>
    <t>ELFOSFO</t>
  </si>
  <si>
    <t>Gastly237</t>
  </si>
  <si>
    <t>GokuBlack25</t>
  </si>
  <si>
    <t>GokuBlack26</t>
  </si>
  <si>
    <t>I GNACIO</t>
  </si>
  <si>
    <t>IguanaranaXD</t>
  </si>
  <si>
    <t>il pegaso</t>
  </si>
  <si>
    <t>mateo 29</t>
  </si>
  <si>
    <t>MDRS69</t>
  </si>
  <si>
    <t>Megadiablo</t>
  </si>
  <si>
    <t>NEW TOP</t>
  </si>
  <si>
    <t>NoSoyWey</t>
  </si>
  <si>
    <t>Pactrocli0oo</t>
  </si>
  <si>
    <t>PESADOS12</t>
  </si>
  <si>
    <t>Polisher241</t>
  </si>
  <si>
    <t>Rastkolnikof</t>
  </si>
  <si>
    <t>SantiagoTb</t>
  </si>
  <si>
    <t>sargent01</t>
  </si>
  <si>
    <t>sr cazador</t>
  </si>
  <si>
    <t>super ARAGON</t>
  </si>
  <si>
    <t>T0XXXIC0</t>
  </si>
  <si>
    <t>VALEP</t>
  </si>
  <si>
    <t>jmr3365 de</t>
  </si>
  <si>
    <t>mini culichi</t>
  </si>
  <si>
    <t>willy 10</t>
  </si>
  <si>
    <t>xavy3r</t>
  </si>
  <si>
    <t>BLACK Vzla</t>
  </si>
  <si>
    <t>Online 16</t>
  </si>
  <si>
    <t>Vzla Free</t>
  </si>
  <si>
    <t>Inng3nN</t>
  </si>
  <si>
    <t>RODRIGUEZ 12</t>
  </si>
  <si>
    <t>OoChispitaoO</t>
  </si>
  <si>
    <t>Nydan D</t>
  </si>
  <si>
    <t>Vega 39</t>
  </si>
  <si>
    <t>Vega 38</t>
  </si>
  <si>
    <t>1AVE FENIX2</t>
  </si>
  <si>
    <t>criatura02</t>
  </si>
  <si>
    <t>Valkiria4k</t>
  </si>
  <si>
    <t>Semana anterior</t>
  </si>
  <si>
    <t>BadBoys4k</t>
  </si>
  <si>
    <t>Notlife 2</t>
  </si>
  <si>
    <t>Notlife 1</t>
  </si>
  <si>
    <t>badboys1</t>
  </si>
  <si>
    <t>SHADOOM24</t>
  </si>
  <si>
    <t>Viiktor V</t>
  </si>
  <si>
    <t>KeoIII1</t>
  </si>
  <si>
    <t>Valentin</t>
  </si>
  <si>
    <t>David051190</t>
  </si>
  <si>
    <t>Nickii077</t>
  </si>
  <si>
    <t>MAYO</t>
  </si>
  <si>
    <t>AlexRo1</t>
  </si>
  <si>
    <t>Thetatu</t>
  </si>
  <si>
    <t>Destiny015</t>
  </si>
  <si>
    <t>TH Notlife2</t>
  </si>
  <si>
    <t>Th3BigB0ss</t>
  </si>
  <si>
    <t>04/05/2026 al 10/05/2026</t>
  </si>
  <si>
    <t>10/05/2026</t>
  </si>
  <si>
    <t>No debe</t>
  </si>
  <si>
    <t>CONDEGATUDHA</t>
  </si>
  <si>
    <t>DANTEE666</t>
  </si>
  <si>
    <t>OZUNA01</t>
  </si>
  <si>
    <t>Pactroclidha</t>
  </si>
  <si>
    <t>xRudius</t>
  </si>
  <si>
    <t>aquilucho</t>
  </si>
  <si>
    <t>chinita241</t>
  </si>
  <si>
    <t>EmpAnadita1</t>
  </si>
  <si>
    <t>granjita88</t>
  </si>
  <si>
    <t>JonyG2013</t>
  </si>
  <si>
    <t>Empanadita2</t>
  </si>
  <si>
    <t>11/05/2026 al 17/05/2026</t>
  </si>
  <si>
    <t xml:space="preserve"> </t>
  </si>
  <si>
    <t>17/05/2026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</si>
</sst>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6" borderId="1" xfId="0" applyFont="1" applyFill="1" applyBorder="1"/>
    <xf numFmtId="0" fontId="1" fillId="5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/>
    <xf numFmtId="0" fontId="3" fillId="8" borderId="4" xfId="0" applyFont="1" applyFill="1" applyBorder="1" applyAlignment="1">
      <alignment horizontal="center" vertical="center"/>
    </xf>
    <xf numFmtId="1" fontId="0" fillId="2" borderId="1" xfId="0" applyNumberFormat="1" applyFill="1" applyBorder="1" applyAlignment="1">
      <alignment vertical="center"/>
    </xf>
    <xf numFmtId="1" fontId="0" fillId="0" borderId="0" xfId="0" applyNumberFormat="1"/>
    <xf numFmtId="0" fontId="0" fillId="2" borderId="1" xfId="0" applyFill="1" applyBorder="1" applyAlignment="1">
      <alignment vertical="center"/>
    </xf>
    <xf numFmtId="0" fontId="0" fillId="11" borderId="3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49" fontId="0" fillId="0" borderId="0" xfId="0" applyNumberFormat="1"/>
    <xf numFmtId="0" fontId="0" fillId="2" borderId="5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0" fillId="2" borderId="5" xfId="0" applyFill="1" applyBorder="1"/>
    <xf numFmtId="0" fontId="0" fillId="0" borderId="2" xfId="0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vertical="center"/>
    </xf>
    <xf numFmtId="1" fontId="2" fillId="7" borderId="1" xfId="0" applyNumberFormat="1" applyFont="1" applyFill="1" applyBorder="1" applyAlignment="1">
      <alignment vertical="center"/>
    </xf>
    <xf numFmtId="0" fontId="1" fillId="4" borderId="2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" fontId="2" fillId="12" borderId="2" xfId="0" applyNumberFormat="1" applyFont="1" applyFill="1" applyBorder="1"/>
    <xf numFmtId="0" fontId="2" fillId="13" borderId="1" xfId="0" applyFont="1" applyFill="1" applyBorder="1"/>
    <xf numFmtId="1" fontId="2" fillId="13" borderId="2" xfId="0" applyNumberFormat="1" applyFont="1" applyFill="1" applyBorder="1" applyAlignment="1">
      <alignment vertical="center"/>
    </xf>
    <xf numFmtId="0" fontId="2" fillId="0" borderId="0" xfId="0" applyFont="1"/>
    <xf numFmtId="14" fontId="2" fillId="8" borderId="1" xfId="0" applyNumberFormat="1" applyFont="1" applyFill="1" applyBorder="1" applyAlignment="1">
      <alignment horizontal="center" vertical="center"/>
    </xf>
    <xf numFmtId="1" fontId="2" fillId="14" borderId="1" xfId="0" applyNumberFormat="1" applyFont="1" applyFill="1" applyBorder="1" applyAlignment="1">
      <alignment vertical="center"/>
    </xf>
    <xf numFmtId="1" fontId="2" fillId="14" borderId="1" xfId="0" applyNumberFormat="1" applyFont="1" applyFill="1" applyBorder="1" applyAlignment="1">
      <alignment horizontal="center" vertical="center"/>
    </xf>
    <xf numFmtId="0" fontId="5" fillId="15" borderId="1" xfId="0" applyFont="1" applyFill="1" applyBorder="1"/>
    <xf numFmtId="0" fontId="2" fillId="8" borderId="0" xfId="0" applyFont="1" applyFill="1"/>
    <xf numFmtId="0" fontId="0" fillId="2" borderId="4" xfId="0" applyFill="1" applyBorder="1" applyAlignment="1">
      <alignment vertical="center"/>
    </xf>
    <xf numFmtId="49" fontId="2" fillId="8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16" borderId="1" xfId="0" applyFill="1" applyBorder="1" applyAlignment="1">
      <alignment vertical="center"/>
    </xf>
    <xf numFmtId="0" fontId="0" fillId="2" borderId="5" xfId="0" applyFont="1" applyFill="1" applyBorder="1" applyAlignment="1">
      <alignment vertical="center"/>
    </xf>
    <xf numFmtId="0" fontId="0" fillId="2" borderId="3" xfId="0" applyFont="1" applyFill="1" applyBorder="1" applyAlignment="1">
      <alignment vertical="center"/>
    </xf>
    <xf numFmtId="0" fontId="0" fillId="2" borderId="6" xfId="0" applyFont="1" applyFill="1" applyBorder="1" applyAlignment="1">
      <alignment vertical="center"/>
    </xf>
    <xf numFmtId="0" fontId="0" fillId="2" borderId="1" xfId="0" applyNumberFormat="1" applyFill="1" applyBorder="1" applyAlignment="1">
      <alignment vertical="center"/>
    </xf>
    <xf numFmtId="0" fontId="0" fillId="2" borderId="4" xfId="0" applyNumberFormat="1" applyFill="1" applyBorder="1" applyAlignment="1">
      <alignment vertical="center"/>
    </xf>
    <xf numFmtId="0" fontId="6" fillId="0" borderId="0" xfId="0" applyFont="1"/>
    <xf numFmtId="0" fontId="0" fillId="0" borderId="7" xfId="0" applyBorder="1" applyAlignment="1">
      <alignment vertical="center"/>
    </xf>
    <xf numFmtId="1" fontId="0" fillId="0" borderId="7" xfId="0" applyNumberFormat="1" applyBorder="1" applyAlignment="1">
      <alignment vertical="center"/>
    </xf>
    <xf numFmtId="0" fontId="0" fillId="0" borderId="8" xfId="0" applyBorder="1" applyAlignment="1">
      <alignment vertical="center"/>
    </xf>
    <xf numFmtId="0" fontId="1" fillId="17" borderId="0" xfId="0" applyFont="1" applyFill="1"/>
    <xf numFmtId="0" fontId="0" fillId="0" borderId="7" xfId="0" applyFont="1" applyBorder="1" applyAlignment="1">
      <alignment vertical="center"/>
    </xf>
    <xf numFmtId="1" fontId="0" fillId="0" borderId="7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49" fontId="0" fillId="0" borderId="0" xfId="0" applyNumberFormat="1" applyFont="1"/>
    <xf numFmtId="0" fontId="0" fillId="2" borderId="1" xfId="0" applyFont="1" applyFill="1" applyBorder="1"/>
    <xf numFmtId="0" fontId="0" fillId="13" borderId="1" xfId="0" applyFont="1" applyFill="1" applyBorder="1"/>
  </cellXfs>
  <cellStyles count="1">
    <cellStyle name="Normal" xfId="0" builtinId="0"/>
  </cellStyles>
  <dxfs count="19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" formatCode="0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1" formatCode="0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1" formatCode="0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top style="thin">
          <color rgb="FF000000"/>
        </top>
        <bottom style="thin">
          <color rgb="FF000000"/>
        </bottom>
      </border>
    </dxf>
    <dxf>
      <alignment horizontal="general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general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BAD332-216C-4A50-BA89-706D2AD1D01D}" name="Tabla1" displayName="Tabla1" ref="A1:B107" totalsRowShown="0" totalsRowDxfId="140" headerRowBorderDxfId="142" tableBorderDxfId="141" totalsRowBorderDxfId="139">
  <autoFilter ref="A1:B107" xr:uid="{D2BAD332-216C-4A50-BA89-706D2AD1D01D}"/>
  <sortState xmlns:xlrd2="http://schemas.microsoft.com/office/spreadsheetml/2017/richdata2" ref="A2:A101">
    <sortCondition ref="A1:A101"/>
  </sortState>
  <tableColumns count="2">
    <tableColumn id="2" xr3:uid="{949AF41D-56DF-4900-A139-D8F15899ECC1}" name="IGGID" dataDxfId="138" totalsRowDxfId="137"/>
    <tableColumn id="1" xr3:uid="{E2AEA648-12BD-437A-9972-D8855130BE63}" name="NOMBRE" dataDxfId="136" totalsRowDxfId="1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AD2299-C81D-4FE1-BFA8-D329D1B43CE4}" name="Tabla2" displayName="Tabla2" ref="A1:C84" totalsRowShown="0" dataDxfId="18" tableBorderDxfId="17">
  <autoFilter ref="A1:C84" xr:uid="{37AD2299-C81D-4FE1-BFA8-D329D1B43CE4}"/>
  <sortState xmlns:xlrd2="http://schemas.microsoft.com/office/spreadsheetml/2017/richdata2" ref="A2:C40">
    <sortCondition ref="B1:B40"/>
  </sortState>
  <tableColumns count="3">
    <tableColumn id="1" xr3:uid="{97A0A935-D789-4DC6-A801-2531C1E7414B}" name="ID" dataDxfId="16"/>
    <tableColumn id="2" xr3:uid="{20C96FBD-05E6-4101-9F70-3A5249527DD1}" name="Nombre" dataDxfId="15"/>
    <tableColumn id="3" xr3:uid="{3FEACAA4-1796-476C-B02E-CA69363920A6}" name="Numero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F680A1-E7CA-4086-9D4E-00C959BC8C33}" name="Tabla3" displayName="Tabla3" ref="A1:D101" totalsRowShown="0" headerRowDxfId="13" dataDxfId="11" headerRowBorderDxfId="12" tableBorderDxfId="10" totalsRowBorderDxfId="9">
  <autoFilter ref="A1:D101" xr:uid="{F8F680A1-E7CA-4086-9D4E-00C959BC8C33}"/>
  <sortState xmlns:xlrd2="http://schemas.microsoft.com/office/spreadsheetml/2017/richdata2" ref="A2:D101">
    <sortCondition descending="1" ref="D1:D101"/>
  </sortState>
  <tableColumns count="4">
    <tableColumn id="1" xr3:uid="{C286FEA7-F89F-4265-B2FA-89E113EC837D}" name="Nombre" dataDxfId="8"/>
    <tableColumn id="2" xr3:uid="{629EF477-9A1A-4035-9FD8-12544A0014D6}" name="Misiones completadas" dataDxfId="7"/>
    <tableColumn id="3" xr3:uid="{80FB951D-9805-4688-BD17-B631EFFA95EB}" name="Misiones tomadas" dataDxfId="6"/>
    <tableColumn id="4" xr3:uid="{F5DC9D92-DC32-480D-BB1F-8A936D9E74D2}" name="Puntos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411AE-CB8C-4002-9471-7E6613B8FBF4}">
  <dimension ref="A1:M110"/>
  <sheetViews>
    <sheetView tabSelected="1" zoomScale="85" zoomScaleNormal="85" workbookViewId="0">
      <selection activeCell="O19" sqref="O19"/>
    </sheetView>
  </sheetViews>
  <sheetFormatPr baseColWidth="10" defaultRowHeight="15" x14ac:dyDescent="0.25"/>
  <cols>
    <col min="1" max="1" width="11.7109375" bestFit="1" customWidth="1"/>
    <col min="2" max="2" width="11.5703125" bestFit="1" customWidth="1"/>
    <col min="3" max="3" width="11.28515625" bestFit="1" customWidth="1"/>
    <col min="4" max="4" width="14.7109375" bestFit="1" customWidth="1"/>
    <col min="5" max="5" width="13.42578125" bestFit="1" customWidth="1"/>
    <col min="6" max="10" width="14.85546875" bestFit="1" customWidth="1"/>
    <col min="11" max="12" width="12" bestFit="1" customWidth="1"/>
    <col min="13" max="13" width="23.85546875" bestFit="1" customWidth="1"/>
  </cols>
  <sheetData>
    <row r="1" spans="1:13" x14ac:dyDescent="0.25">
      <c r="A1" s="2" t="s">
        <v>23</v>
      </c>
      <c r="B1" s="2" t="s">
        <v>2</v>
      </c>
      <c r="C1" s="2" t="s">
        <v>57</v>
      </c>
      <c r="D1" s="2" t="s">
        <v>0</v>
      </c>
      <c r="E1" s="3" t="s">
        <v>4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6" t="s">
        <v>21</v>
      </c>
      <c r="L1" s="6" t="s">
        <v>22</v>
      </c>
      <c r="M1" s="3" t="s">
        <v>14</v>
      </c>
    </row>
    <row r="2" spans="1:13" x14ac:dyDescent="0.25">
      <c r="A2" s="11" t="s">
        <v>88</v>
      </c>
      <c r="B2" s="16" t="s">
        <v>109</v>
      </c>
      <c r="C2" s="48">
        <v>559847999</v>
      </c>
      <c r="D2" s="48" t="s">
        <v>6</v>
      </c>
      <c r="E2" s="28">
        <v>35</v>
      </c>
      <c r="F2" s="49">
        <v>0</v>
      </c>
      <c r="G2" s="49">
        <v>26</v>
      </c>
      <c r="H2" s="49">
        <v>9</v>
      </c>
      <c r="I2" s="49">
        <v>0</v>
      </c>
      <c r="J2" s="49">
        <v>0</v>
      </c>
      <c r="K2" s="25">
        <v>71</v>
      </c>
      <c r="L2" s="24">
        <v>265</v>
      </c>
      <c r="M2" s="13" t="s">
        <v>198</v>
      </c>
    </row>
    <row r="3" spans="1:13" x14ac:dyDescent="0.25">
      <c r="A3" s="11" t="s">
        <v>88</v>
      </c>
      <c r="B3" s="16" t="s">
        <v>109</v>
      </c>
      <c r="C3" s="48">
        <v>625607335</v>
      </c>
      <c r="D3" s="48" t="s">
        <v>168</v>
      </c>
      <c r="E3" s="28">
        <v>31</v>
      </c>
      <c r="F3" s="49">
        <v>0</v>
      </c>
      <c r="G3" s="49">
        <v>30</v>
      </c>
      <c r="H3" s="49">
        <v>1</v>
      </c>
      <c r="I3" s="49">
        <v>0</v>
      </c>
      <c r="J3" s="49">
        <v>0</v>
      </c>
      <c r="K3" s="25">
        <v>35</v>
      </c>
      <c r="L3" s="24">
        <v>165</v>
      </c>
    </row>
    <row r="4" spans="1:13" x14ac:dyDescent="0.25">
      <c r="A4" s="11" t="s">
        <v>88</v>
      </c>
      <c r="B4" s="16" t="s">
        <v>109</v>
      </c>
      <c r="C4" s="48">
        <v>1036786251</v>
      </c>
      <c r="D4" s="48" t="s">
        <v>117</v>
      </c>
      <c r="E4" s="28">
        <v>16</v>
      </c>
      <c r="F4" s="49">
        <v>0</v>
      </c>
      <c r="G4" s="49">
        <v>11</v>
      </c>
      <c r="H4" s="49">
        <v>5</v>
      </c>
      <c r="I4" s="49">
        <v>0</v>
      </c>
      <c r="J4" s="49">
        <v>0</v>
      </c>
      <c r="K4" s="25">
        <v>36</v>
      </c>
      <c r="L4" s="24">
        <v>130</v>
      </c>
    </row>
    <row r="5" spans="1:13" x14ac:dyDescent="0.25">
      <c r="A5" s="11" t="s">
        <v>88</v>
      </c>
      <c r="B5" s="16" t="s">
        <v>47</v>
      </c>
      <c r="C5" s="48">
        <v>386453157</v>
      </c>
      <c r="D5" s="48" t="s">
        <v>187</v>
      </c>
      <c r="E5" s="28">
        <v>6</v>
      </c>
      <c r="F5" s="49">
        <v>0</v>
      </c>
      <c r="G5" s="49">
        <v>2</v>
      </c>
      <c r="H5" s="49">
        <v>4</v>
      </c>
      <c r="I5" s="49">
        <v>0</v>
      </c>
      <c r="J5" s="49">
        <v>0</v>
      </c>
      <c r="K5" s="25">
        <v>22</v>
      </c>
      <c r="L5" s="24">
        <v>70</v>
      </c>
    </row>
    <row r="6" spans="1:13" x14ac:dyDescent="0.25">
      <c r="A6" s="11" t="s">
        <v>88</v>
      </c>
      <c r="B6" s="16" t="s">
        <v>109</v>
      </c>
      <c r="C6" s="48">
        <v>611721390</v>
      </c>
      <c r="D6" s="48" t="s">
        <v>89</v>
      </c>
      <c r="E6" s="28">
        <v>28</v>
      </c>
      <c r="F6" s="49">
        <v>0</v>
      </c>
      <c r="G6" s="49">
        <v>26</v>
      </c>
      <c r="H6" s="49">
        <v>2</v>
      </c>
      <c r="I6" s="49">
        <v>0</v>
      </c>
      <c r="J6" s="49">
        <v>0</v>
      </c>
      <c r="K6" s="25">
        <v>36</v>
      </c>
      <c r="L6" s="24">
        <v>160</v>
      </c>
    </row>
    <row r="7" spans="1:13" x14ac:dyDescent="0.25">
      <c r="A7" s="11" t="s">
        <v>88</v>
      </c>
      <c r="B7" s="16" t="s">
        <v>109</v>
      </c>
      <c r="C7" s="48">
        <v>723725687</v>
      </c>
      <c r="D7" s="48" t="s">
        <v>71</v>
      </c>
      <c r="E7" s="28">
        <v>44</v>
      </c>
      <c r="F7" s="49">
        <v>0</v>
      </c>
      <c r="G7" s="49">
        <v>43</v>
      </c>
      <c r="H7" s="49">
        <v>1</v>
      </c>
      <c r="I7" s="49">
        <v>0</v>
      </c>
      <c r="J7" s="49">
        <v>0</v>
      </c>
      <c r="K7" s="25">
        <v>48</v>
      </c>
      <c r="L7" s="24">
        <v>230</v>
      </c>
    </row>
    <row r="8" spans="1:13" x14ac:dyDescent="0.25">
      <c r="A8" s="11" t="s">
        <v>88</v>
      </c>
      <c r="B8" s="16" t="s">
        <v>109</v>
      </c>
      <c r="C8" s="48">
        <v>334846462</v>
      </c>
      <c r="D8" s="48" t="s">
        <v>158</v>
      </c>
      <c r="E8" s="28">
        <v>35</v>
      </c>
      <c r="F8" s="49">
        <v>0</v>
      </c>
      <c r="G8" s="49">
        <v>35</v>
      </c>
      <c r="H8" s="49">
        <v>0</v>
      </c>
      <c r="I8" s="49">
        <v>0</v>
      </c>
      <c r="J8" s="49">
        <v>0</v>
      </c>
      <c r="K8" s="25">
        <v>35</v>
      </c>
      <c r="L8" s="24">
        <v>175</v>
      </c>
    </row>
    <row r="9" spans="1:13" x14ac:dyDescent="0.25">
      <c r="A9" s="11" t="s">
        <v>88</v>
      </c>
      <c r="B9" s="16" t="s">
        <v>109</v>
      </c>
      <c r="C9" s="48">
        <v>1092680272</v>
      </c>
      <c r="D9" s="48" t="s">
        <v>72</v>
      </c>
      <c r="E9" s="28">
        <v>28</v>
      </c>
      <c r="F9" s="49">
        <v>0</v>
      </c>
      <c r="G9" s="49">
        <v>21</v>
      </c>
      <c r="H9" s="49">
        <v>4</v>
      </c>
      <c r="I9" s="49">
        <v>3</v>
      </c>
      <c r="J9" s="49">
        <v>0</v>
      </c>
      <c r="K9" s="25">
        <v>68</v>
      </c>
      <c r="L9" s="24">
        <v>255</v>
      </c>
    </row>
    <row r="10" spans="1:13" x14ac:dyDescent="0.25">
      <c r="A10" s="11" t="s">
        <v>88</v>
      </c>
      <c r="B10" s="16" t="s">
        <v>109</v>
      </c>
      <c r="C10" s="48">
        <v>689257712</v>
      </c>
      <c r="D10" s="48" t="s">
        <v>121</v>
      </c>
      <c r="E10" s="28">
        <v>13</v>
      </c>
      <c r="F10" s="49">
        <v>0</v>
      </c>
      <c r="G10" s="49">
        <v>3</v>
      </c>
      <c r="H10" s="49">
        <v>10</v>
      </c>
      <c r="I10" s="49">
        <v>0</v>
      </c>
      <c r="J10" s="49">
        <v>0</v>
      </c>
      <c r="K10" s="25">
        <v>53</v>
      </c>
      <c r="L10" s="24">
        <v>165</v>
      </c>
    </row>
    <row r="11" spans="1:13" x14ac:dyDescent="0.25">
      <c r="A11" s="11" t="s">
        <v>88</v>
      </c>
      <c r="B11" s="16" t="s">
        <v>109</v>
      </c>
      <c r="C11" s="48">
        <v>613063847</v>
      </c>
      <c r="D11" s="48" t="s">
        <v>101</v>
      </c>
      <c r="E11" s="28">
        <v>18</v>
      </c>
      <c r="F11" s="49">
        <v>0</v>
      </c>
      <c r="G11" s="49">
        <v>14</v>
      </c>
      <c r="H11" s="49">
        <v>3</v>
      </c>
      <c r="I11" s="49">
        <v>1</v>
      </c>
      <c r="J11" s="49">
        <v>0</v>
      </c>
      <c r="K11" s="25">
        <v>38</v>
      </c>
      <c r="L11" s="24">
        <v>145</v>
      </c>
    </row>
    <row r="12" spans="1:13" x14ac:dyDescent="0.25">
      <c r="A12" s="11" t="s">
        <v>88</v>
      </c>
      <c r="B12" s="16" t="s">
        <v>109</v>
      </c>
      <c r="C12" s="48">
        <v>1112847542</v>
      </c>
      <c r="D12" s="48" t="s">
        <v>122</v>
      </c>
      <c r="E12" s="28">
        <v>18</v>
      </c>
      <c r="F12" s="49">
        <v>0</v>
      </c>
      <c r="G12" s="49">
        <v>8</v>
      </c>
      <c r="H12" s="49">
        <v>10</v>
      </c>
      <c r="I12" s="49">
        <v>0</v>
      </c>
      <c r="J12" s="49">
        <v>0</v>
      </c>
      <c r="K12" s="25">
        <v>58</v>
      </c>
      <c r="L12" s="24">
        <v>190</v>
      </c>
    </row>
    <row r="13" spans="1:13" x14ac:dyDescent="0.25">
      <c r="A13" s="11" t="s">
        <v>110</v>
      </c>
      <c r="B13" s="16" t="s">
        <v>109</v>
      </c>
      <c r="C13" s="48">
        <v>2115871936</v>
      </c>
      <c r="D13" s="48" t="s">
        <v>104</v>
      </c>
      <c r="E13" s="28">
        <v>16</v>
      </c>
      <c r="F13" s="49">
        <v>11</v>
      </c>
      <c r="G13" s="49">
        <v>5</v>
      </c>
      <c r="H13" s="49">
        <v>0</v>
      </c>
      <c r="I13" s="49">
        <v>0</v>
      </c>
      <c r="J13" s="49">
        <v>0</v>
      </c>
      <c r="K13" s="25">
        <v>5</v>
      </c>
      <c r="L13" s="24">
        <v>36</v>
      </c>
    </row>
    <row r="14" spans="1:13" x14ac:dyDescent="0.25">
      <c r="A14" s="11" t="s">
        <v>110</v>
      </c>
      <c r="B14" s="16" t="s">
        <v>109</v>
      </c>
      <c r="C14" s="48">
        <v>2024927090</v>
      </c>
      <c r="D14" s="48" t="s">
        <v>34</v>
      </c>
      <c r="E14" s="28">
        <v>8</v>
      </c>
      <c r="F14" s="49">
        <v>0</v>
      </c>
      <c r="G14" s="49">
        <v>8</v>
      </c>
      <c r="H14" s="49">
        <v>0</v>
      </c>
      <c r="I14" s="49">
        <v>0</v>
      </c>
      <c r="J14" s="49">
        <v>0</v>
      </c>
      <c r="K14" s="25">
        <v>8</v>
      </c>
      <c r="L14" s="24">
        <v>40</v>
      </c>
    </row>
    <row r="15" spans="1:13" x14ac:dyDescent="0.25">
      <c r="A15" s="11" t="s">
        <v>88</v>
      </c>
      <c r="B15" s="16" t="s">
        <v>109</v>
      </c>
      <c r="C15" s="48">
        <v>804415402</v>
      </c>
      <c r="D15" s="48" t="s">
        <v>80</v>
      </c>
      <c r="E15" s="28">
        <v>12</v>
      </c>
      <c r="F15" s="49">
        <v>0</v>
      </c>
      <c r="G15" s="49">
        <v>2</v>
      </c>
      <c r="H15" s="49">
        <v>10</v>
      </c>
      <c r="I15" s="49">
        <v>0</v>
      </c>
      <c r="J15" s="49">
        <v>0</v>
      </c>
      <c r="K15" s="25">
        <v>52</v>
      </c>
      <c r="L15" s="24">
        <v>160</v>
      </c>
    </row>
    <row r="16" spans="1:13" x14ac:dyDescent="0.25">
      <c r="A16" s="11" t="s">
        <v>88</v>
      </c>
      <c r="B16" s="16" t="s">
        <v>109</v>
      </c>
      <c r="C16" s="48">
        <v>1040942817</v>
      </c>
      <c r="D16" s="48" t="s">
        <v>124</v>
      </c>
      <c r="E16" s="28">
        <v>9</v>
      </c>
      <c r="F16" s="49">
        <v>0</v>
      </c>
      <c r="G16" s="49">
        <v>0</v>
      </c>
      <c r="H16" s="49">
        <v>9</v>
      </c>
      <c r="I16" s="49">
        <v>0</v>
      </c>
      <c r="J16" s="49">
        <v>0</v>
      </c>
      <c r="K16" s="25">
        <v>45</v>
      </c>
      <c r="L16" s="24">
        <v>135</v>
      </c>
    </row>
    <row r="17" spans="1:12" x14ac:dyDescent="0.25">
      <c r="A17" s="11" t="s">
        <v>110</v>
      </c>
      <c r="B17" s="16" t="s">
        <v>109</v>
      </c>
      <c r="C17" s="48">
        <v>2060348531</v>
      </c>
      <c r="D17" s="48" t="s">
        <v>64</v>
      </c>
      <c r="E17" s="28">
        <v>13</v>
      </c>
      <c r="F17" s="49">
        <v>7</v>
      </c>
      <c r="G17" s="49">
        <v>6</v>
      </c>
      <c r="H17" s="49">
        <v>0</v>
      </c>
      <c r="I17" s="49">
        <v>0</v>
      </c>
      <c r="J17" s="49">
        <v>0</v>
      </c>
      <c r="K17" s="25">
        <v>6</v>
      </c>
      <c r="L17" s="24">
        <v>37</v>
      </c>
    </row>
    <row r="18" spans="1:12" x14ac:dyDescent="0.25">
      <c r="A18" s="11" t="s">
        <v>88</v>
      </c>
      <c r="B18" s="16" t="s">
        <v>109</v>
      </c>
      <c r="C18" s="48">
        <v>919665444</v>
      </c>
      <c r="D18" s="48" t="s">
        <v>180</v>
      </c>
      <c r="E18" s="28">
        <v>34</v>
      </c>
      <c r="F18" s="49">
        <v>0</v>
      </c>
      <c r="G18" s="49">
        <v>33</v>
      </c>
      <c r="H18" s="49">
        <v>1</v>
      </c>
      <c r="I18" s="49">
        <v>0</v>
      </c>
      <c r="J18" s="49">
        <v>0</v>
      </c>
      <c r="K18" s="25">
        <v>38</v>
      </c>
      <c r="L18" s="24">
        <v>180</v>
      </c>
    </row>
    <row r="19" spans="1:12" x14ac:dyDescent="0.25">
      <c r="A19" s="11" t="s">
        <v>88</v>
      </c>
      <c r="B19" s="16" t="s">
        <v>109</v>
      </c>
      <c r="C19" s="48">
        <v>566390589</v>
      </c>
      <c r="D19" s="48" t="s">
        <v>102</v>
      </c>
      <c r="E19" s="28">
        <v>32</v>
      </c>
      <c r="F19" s="49">
        <v>0</v>
      </c>
      <c r="G19" s="49">
        <v>31</v>
      </c>
      <c r="H19" s="49">
        <v>1</v>
      </c>
      <c r="I19" s="49">
        <v>0</v>
      </c>
      <c r="J19" s="49">
        <v>0</v>
      </c>
      <c r="K19" s="25">
        <v>36</v>
      </c>
      <c r="L19" s="24">
        <v>170</v>
      </c>
    </row>
    <row r="20" spans="1:12" x14ac:dyDescent="0.25">
      <c r="A20" s="11" t="s">
        <v>88</v>
      </c>
      <c r="B20" s="16" t="s">
        <v>109</v>
      </c>
      <c r="C20" s="48">
        <v>884346374</v>
      </c>
      <c r="D20" s="48" t="s">
        <v>126</v>
      </c>
      <c r="E20" s="28">
        <v>40</v>
      </c>
      <c r="F20" s="49">
        <v>0</v>
      </c>
      <c r="G20" s="49">
        <v>33</v>
      </c>
      <c r="H20" s="49">
        <v>7</v>
      </c>
      <c r="I20" s="49">
        <v>0</v>
      </c>
      <c r="J20" s="49">
        <v>0</v>
      </c>
      <c r="K20" s="25">
        <v>68</v>
      </c>
      <c r="L20" s="24">
        <v>270</v>
      </c>
    </row>
    <row r="21" spans="1:12" x14ac:dyDescent="0.25">
      <c r="A21" s="11" t="s">
        <v>88</v>
      </c>
      <c r="B21" s="16" t="s">
        <v>47</v>
      </c>
      <c r="C21" s="48">
        <v>2119238620</v>
      </c>
      <c r="D21" s="48" t="s">
        <v>164</v>
      </c>
      <c r="E21" s="28">
        <v>0</v>
      </c>
      <c r="F21" s="49">
        <v>0</v>
      </c>
      <c r="G21" s="49">
        <v>0</v>
      </c>
      <c r="H21" s="49">
        <v>0</v>
      </c>
      <c r="I21" s="49">
        <v>0</v>
      </c>
      <c r="J21" s="49">
        <v>0</v>
      </c>
      <c r="K21" s="25">
        <v>0</v>
      </c>
      <c r="L21" s="24">
        <v>0</v>
      </c>
    </row>
    <row r="22" spans="1:12" x14ac:dyDescent="0.25">
      <c r="A22" s="11" t="s">
        <v>88</v>
      </c>
      <c r="B22" s="16" t="s">
        <v>109</v>
      </c>
      <c r="C22" s="48">
        <v>416845218</v>
      </c>
      <c r="D22" s="48" t="s">
        <v>29</v>
      </c>
      <c r="E22" s="28">
        <v>23</v>
      </c>
      <c r="F22" s="49">
        <v>0</v>
      </c>
      <c r="G22" s="49">
        <v>20</v>
      </c>
      <c r="H22" s="49">
        <v>2</v>
      </c>
      <c r="I22" s="49">
        <v>1</v>
      </c>
      <c r="J22" s="49">
        <v>0</v>
      </c>
      <c r="K22" s="25">
        <v>39</v>
      </c>
      <c r="L22" s="24">
        <v>160</v>
      </c>
    </row>
    <row r="23" spans="1:12" x14ac:dyDescent="0.25">
      <c r="A23" s="11" t="s">
        <v>88</v>
      </c>
      <c r="B23" s="16" t="s">
        <v>109</v>
      </c>
      <c r="C23" s="48">
        <v>346561690</v>
      </c>
      <c r="D23" s="48" t="s">
        <v>24</v>
      </c>
      <c r="E23" s="28">
        <v>12</v>
      </c>
      <c r="F23" s="49">
        <v>0</v>
      </c>
      <c r="G23" s="49">
        <v>9</v>
      </c>
      <c r="H23" s="49">
        <v>0</v>
      </c>
      <c r="I23" s="49">
        <v>3</v>
      </c>
      <c r="J23" s="49">
        <v>0</v>
      </c>
      <c r="K23" s="25">
        <v>36</v>
      </c>
      <c r="L23" s="24">
        <v>135</v>
      </c>
    </row>
    <row r="24" spans="1:12" x14ac:dyDescent="0.25">
      <c r="A24" s="11" t="s">
        <v>88</v>
      </c>
      <c r="B24" s="16" t="s">
        <v>109</v>
      </c>
      <c r="C24" s="48">
        <v>365438142</v>
      </c>
      <c r="D24" s="48" t="s">
        <v>25</v>
      </c>
      <c r="E24" s="28">
        <v>11</v>
      </c>
      <c r="F24" s="49">
        <v>0</v>
      </c>
      <c r="G24" s="49">
        <v>8</v>
      </c>
      <c r="H24" s="49">
        <v>0</v>
      </c>
      <c r="I24" s="49">
        <v>3</v>
      </c>
      <c r="J24" s="49">
        <v>0</v>
      </c>
      <c r="K24" s="25">
        <v>35</v>
      </c>
      <c r="L24" s="24">
        <v>130</v>
      </c>
    </row>
    <row r="25" spans="1:12" x14ac:dyDescent="0.25">
      <c r="A25" s="11" t="s">
        <v>88</v>
      </c>
      <c r="B25" s="16" t="s">
        <v>109</v>
      </c>
      <c r="C25" s="48">
        <v>326455645</v>
      </c>
      <c r="D25" s="48" t="s">
        <v>26</v>
      </c>
      <c r="E25" s="28">
        <v>35</v>
      </c>
      <c r="F25" s="49">
        <v>0</v>
      </c>
      <c r="G25" s="49">
        <v>35</v>
      </c>
      <c r="H25" s="49">
        <v>0</v>
      </c>
      <c r="I25" s="49">
        <v>0</v>
      </c>
      <c r="J25" s="49">
        <v>0</v>
      </c>
      <c r="K25" s="25">
        <v>35</v>
      </c>
      <c r="L25" s="24">
        <v>175</v>
      </c>
    </row>
    <row r="26" spans="1:12" x14ac:dyDescent="0.25">
      <c r="A26" s="11" t="s">
        <v>110</v>
      </c>
      <c r="B26" s="16" t="s">
        <v>109</v>
      </c>
      <c r="C26" s="48">
        <v>2057192192</v>
      </c>
      <c r="D26" s="48" t="s">
        <v>46</v>
      </c>
      <c r="E26" s="28">
        <v>14</v>
      </c>
      <c r="F26" s="49">
        <v>11</v>
      </c>
      <c r="G26" s="49">
        <v>2</v>
      </c>
      <c r="H26" s="49">
        <v>1</v>
      </c>
      <c r="I26" s="49">
        <v>0</v>
      </c>
      <c r="J26" s="49">
        <v>0</v>
      </c>
      <c r="K26" s="25">
        <v>7</v>
      </c>
      <c r="L26" s="24">
        <v>36</v>
      </c>
    </row>
    <row r="27" spans="1:12" x14ac:dyDescent="0.25">
      <c r="A27" s="11" t="s">
        <v>88</v>
      </c>
      <c r="B27" s="16" t="s">
        <v>109</v>
      </c>
      <c r="C27" s="48">
        <v>545632943</v>
      </c>
      <c r="D27" s="48" t="s">
        <v>169</v>
      </c>
      <c r="E27" s="28">
        <v>12</v>
      </c>
      <c r="F27" s="49">
        <v>0</v>
      </c>
      <c r="G27" s="49">
        <v>6</v>
      </c>
      <c r="H27" s="49">
        <v>6</v>
      </c>
      <c r="I27" s="49">
        <v>0</v>
      </c>
      <c r="J27" s="49">
        <v>0</v>
      </c>
      <c r="K27" s="25">
        <v>36</v>
      </c>
      <c r="L27" s="24">
        <v>120</v>
      </c>
    </row>
    <row r="28" spans="1:12" x14ac:dyDescent="0.25">
      <c r="A28" s="11" t="s">
        <v>110</v>
      </c>
      <c r="B28" s="16" t="s">
        <v>109</v>
      </c>
      <c r="C28" s="48">
        <v>1483867967</v>
      </c>
      <c r="D28" s="48" t="s">
        <v>171</v>
      </c>
      <c r="E28" s="28">
        <v>4</v>
      </c>
      <c r="F28" s="49">
        <v>0</v>
      </c>
      <c r="G28" s="49">
        <v>2</v>
      </c>
      <c r="H28" s="49">
        <v>2</v>
      </c>
      <c r="I28" s="49">
        <v>0</v>
      </c>
      <c r="J28" s="49">
        <v>0</v>
      </c>
      <c r="K28" s="25">
        <v>12</v>
      </c>
      <c r="L28" s="24">
        <v>40</v>
      </c>
    </row>
    <row r="29" spans="1:12" x14ac:dyDescent="0.25">
      <c r="A29" s="11" t="s">
        <v>88</v>
      </c>
      <c r="B29" s="16" t="s">
        <v>109</v>
      </c>
      <c r="C29" s="48">
        <v>357402771</v>
      </c>
      <c r="D29" s="48" t="s">
        <v>27</v>
      </c>
      <c r="E29" s="28">
        <v>26</v>
      </c>
      <c r="F29" s="49">
        <v>0</v>
      </c>
      <c r="G29" s="49">
        <v>23</v>
      </c>
      <c r="H29" s="49">
        <v>2</v>
      </c>
      <c r="I29" s="49">
        <v>1</v>
      </c>
      <c r="J29" s="49">
        <v>0</v>
      </c>
      <c r="K29" s="25">
        <v>42</v>
      </c>
      <c r="L29" s="24">
        <v>175</v>
      </c>
    </row>
    <row r="30" spans="1:12" x14ac:dyDescent="0.25">
      <c r="A30" s="11" t="s">
        <v>88</v>
      </c>
      <c r="B30" s="16" t="s">
        <v>109</v>
      </c>
      <c r="C30" s="48">
        <v>1041405085</v>
      </c>
      <c r="D30" s="48" t="s">
        <v>128</v>
      </c>
      <c r="E30" s="28">
        <v>24</v>
      </c>
      <c r="F30" s="49">
        <v>0</v>
      </c>
      <c r="G30" s="49">
        <v>21</v>
      </c>
      <c r="H30" s="49">
        <v>3</v>
      </c>
      <c r="I30" s="49">
        <v>0</v>
      </c>
      <c r="J30" s="49">
        <v>0</v>
      </c>
      <c r="K30" s="25">
        <v>36</v>
      </c>
      <c r="L30" s="24">
        <v>150</v>
      </c>
    </row>
    <row r="31" spans="1:12" x14ac:dyDescent="0.25">
      <c r="A31" s="11" t="s">
        <v>88</v>
      </c>
      <c r="B31" s="16" t="s">
        <v>109</v>
      </c>
      <c r="C31" s="48">
        <v>747071768</v>
      </c>
      <c r="D31" s="48" t="s">
        <v>112</v>
      </c>
      <c r="E31" s="28">
        <v>35</v>
      </c>
      <c r="F31" s="49">
        <v>0</v>
      </c>
      <c r="G31" s="49">
        <v>35</v>
      </c>
      <c r="H31" s="49">
        <v>0</v>
      </c>
      <c r="I31" s="49">
        <v>0</v>
      </c>
      <c r="J31" s="49">
        <v>0</v>
      </c>
      <c r="K31" s="25">
        <v>35</v>
      </c>
      <c r="L31" s="24">
        <v>175</v>
      </c>
    </row>
    <row r="32" spans="1:12" x14ac:dyDescent="0.25">
      <c r="A32" s="11" t="s">
        <v>88</v>
      </c>
      <c r="B32" s="16" t="s">
        <v>109</v>
      </c>
      <c r="C32" s="48">
        <v>881905775</v>
      </c>
      <c r="D32" s="48" t="s">
        <v>188</v>
      </c>
      <c r="E32" s="28">
        <v>39</v>
      </c>
      <c r="F32" s="49">
        <v>0</v>
      </c>
      <c r="G32" s="49">
        <v>35</v>
      </c>
      <c r="H32" s="49">
        <v>4</v>
      </c>
      <c r="I32" s="49">
        <v>0</v>
      </c>
      <c r="J32" s="49">
        <v>0</v>
      </c>
      <c r="K32" s="25">
        <v>55</v>
      </c>
      <c r="L32" s="24">
        <v>235</v>
      </c>
    </row>
    <row r="33" spans="1:12" x14ac:dyDescent="0.25">
      <c r="A33" s="11" t="s">
        <v>88</v>
      </c>
      <c r="B33" s="16" t="s">
        <v>109</v>
      </c>
      <c r="C33" s="48">
        <v>471968668</v>
      </c>
      <c r="D33" s="48" t="s">
        <v>176</v>
      </c>
      <c r="E33" s="28">
        <v>24</v>
      </c>
      <c r="F33" s="49">
        <v>0</v>
      </c>
      <c r="G33" s="49">
        <v>21</v>
      </c>
      <c r="H33" s="49">
        <v>2</v>
      </c>
      <c r="I33" s="49">
        <v>1</v>
      </c>
      <c r="J33" s="49">
        <v>0</v>
      </c>
      <c r="K33" s="25">
        <v>40</v>
      </c>
      <c r="L33" s="24">
        <v>165</v>
      </c>
    </row>
    <row r="34" spans="1:12" x14ac:dyDescent="0.25">
      <c r="A34" s="11" t="s">
        <v>88</v>
      </c>
      <c r="B34" s="16" t="s">
        <v>109</v>
      </c>
      <c r="C34" s="48">
        <v>866932727</v>
      </c>
      <c r="D34" s="48" t="s">
        <v>181</v>
      </c>
      <c r="E34" s="28">
        <v>20</v>
      </c>
      <c r="F34" s="49">
        <v>1</v>
      </c>
      <c r="G34" s="49">
        <v>15</v>
      </c>
      <c r="H34" s="49">
        <v>4</v>
      </c>
      <c r="I34" s="49">
        <v>0</v>
      </c>
      <c r="J34" s="49">
        <v>0</v>
      </c>
      <c r="K34" s="25">
        <v>35</v>
      </c>
      <c r="L34" s="24">
        <v>136</v>
      </c>
    </row>
    <row r="35" spans="1:12" x14ac:dyDescent="0.25">
      <c r="A35" s="11" t="s">
        <v>88</v>
      </c>
      <c r="B35" s="16" t="s">
        <v>47</v>
      </c>
      <c r="C35" s="48">
        <v>412543735</v>
      </c>
      <c r="D35" s="48" t="s">
        <v>129</v>
      </c>
      <c r="E35" s="28">
        <v>1</v>
      </c>
      <c r="F35" s="49">
        <v>0</v>
      </c>
      <c r="G35" s="49">
        <v>0</v>
      </c>
      <c r="H35" s="49">
        <v>1</v>
      </c>
      <c r="I35" s="49">
        <v>0</v>
      </c>
      <c r="J35" s="49">
        <v>0</v>
      </c>
      <c r="K35" s="25">
        <v>5</v>
      </c>
      <c r="L35" s="24">
        <v>15</v>
      </c>
    </row>
    <row r="36" spans="1:12" x14ac:dyDescent="0.25">
      <c r="A36" s="11" t="s">
        <v>88</v>
      </c>
      <c r="B36" s="16" t="s">
        <v>109</v>
      </c>
      <c r="C36" s="48">
        <v>1346964807</v>
      </c>
      <c r="D36" s="48" t="s">
        <v>131</v>
      </c>
      <c r="E36" s="28">
        <v>29</v>
      </c>
      <c r="F36" s="49">
        <v>2</v>
      </c>
      <c r="G36" s="49">
        <v>18</v>
      </c>
      <c r="H36" s="49">
        <v>9</v>
      </c>
      <c r="I36" s="49">
        <v>0</v>
      </c>
      <c r="J36" s="49">
        <v>0</v>
      </c>
      <c r="K36" s="25">
        <v>63</v>
      </c>
      <c r="L36" s="24">
        <v>227</v>
      </c>
    </row>
    <row r="37" spans="1:12" x14ac:dyDescent="0.25">
      <c r="A37" s="11" t="s">
        <v>88</v>
      </c>
      <c r="B37" s="16" t="s">
        <v>109</v>
      </c>
      <c r="C37" s="48">
        <v>1529804845</v>
      </c>
      <c r="D37" s="48" t="s">
        <v>132</v>
      </c>
      <c r="E37" s="28">
        <v>20</v>
      </c>
      <c r="F37" s="49">
        <v>0</v>
      </c>
      <c r="G37" s="49">
        <v>7</v>
      </c>
      <c r="H37" s="49">
        <v>13</v>
      </c>
      <c r="I37" s="49">
        <v>0</v>
      </c>
      <c r="J37" s="49">
        <v>0</v>
      </c>
      <c r="K37" s="25">
        <v>72</v>
      </c>
      <c r="L37" s="24">
        <v>230</v>
      </c>
    </row>
    <row r="38" spans="1:12" x14ac:dyDescent="0.25">
      <c r="A38" s="11" t="s">
        <v>88</v>
      </c>
      <c r="B38" s="16" t="s">
        <v>109</v>
      </c>
      <c r="C38" s="48">
        <v>997405085</v>
      </c>
      <c r="D38" s="48" t="s">
        <v>161</v>
      </c>
      <c r="E38" s="28">
        <v>36</v>
      </c>
      <c r="F38" s="49">
        <v>1</v>
      </c>
      <c r="G38" s="49">
        <v>35</v>
      </c>
      <c r="H38" s="49">
        <v>0</v>
      </c>
      <c r="I38" s="49">
        <v>0</v>
      </c>
      <c r="J38" s="49">
        <v>0</v>
      </c>
      <c r="K38" s="25">
        <v>35</v>
      </c>
      <c r="L38" s="24">
        <v>176</v>
      </c>
    </row>
    <row r="39" spans="1:12" x14ac:dyDescent="0.25">
      <c r="A39" s="11" t="s">
        <v>88</v>
      </c>
      <c r="B39" s="16" t="s">
        <v>109</v>
      </c>
      <c r="C39" s="48">
        <v>516441517</v>
      </c>
      <c r="D39" s="48" t="s">
        <v>133</v>
      </c>
      <c r="E39" s="28">
        <v>23</v>
      </c>
      <c r="F39" s="49">
        <v>0</v>
      </c>
      <c r="G39" s="49">
        <v>10</v>
      </c>
      <c r="H39" s="49">
        <v>13</v>
      </c>
      <c r="I39" s="49">
        <v>0</v>
      </c>
      <c r="J39" s="49">
        <v>0</v>
      </c>
      <c r="K39" s="25">
        <v>75</v>
      </c>
      <c r="L39" s="24">
        <v>245</v>
      </c>
    </row>
    <row r="40" spans="1:12" x14ac:dyDescent="0.25">
      <c r="A40" s="11" t="s">
        <v>88</v>
      </c>
      <c r="B40" s="16" t="s">
        <v>109</v>
      </c>
      <c r="C40" s="48">
        <v>1041170254</v>
      </c>
      <c r="D40" s="48" t="s">
        <v>135</v>
      </c>
      <c r="E40" s="28">
        <v>7</v>
      </c>
      <c r="F40" s="49">
        <v>0</v>
      </c>
      <c r="G40" s="49">
        <v>0</v>
      </c>
      <c r="H40" s="49">
        <v>7</v>
      </c>
      <c r="I40" s="49">
        <v>0</v>
      </c>
      <c r="J40" s="49">
        <v>0</v>
      </c>
      <c r="K40" s="25">
        <v>35</v>
      </c>
      <c r="L40" s="24">
        <v>105</v>
      </c>
    </row>
    <row r="41" spans="1:12" x14ac:dyDescent="0.25">
      <c r="A41" s="11" t="s">
        <v>88</v>
      </c>
      <c r="B41" s="16" t="s">
        <v>109</v>
      </c>
      <c r="C41" s="48">
        <v>1023770253</v>
      </c>
      <c r="D41" s="48" t="s">
        <v>73</v>
      </c>
      <c r="E41" s="28">
        <v>17</v>
      </c>
      <c r="F41" s="49">
        <v>0</v>
      </c>
      <c r="G41" s="49">
        <v>0</v>
      </c>
      <c r="H41" s="49">
        <v>13</v>
      </c>
      <c r="I41" s="49">
        <v>4</v>
      </c>
      <c r="J41" s="49">
        <v>0</v>
      </c>
      <c r="K41" s="25">
        <v>101</v>
      </c>
      <c r="L41" s="24">
        <v>315</v>
      </c>
    </row>
    <row r="42" spans="1:12" x14ac:dyDescent="0.25">
      <c r="A42" s="11" t="s">
        <v>88</v>
      </c>
      <c r="B42" s="16" t="s">
        <v>109</v>
      </c>
      <c r="C42" s="48">
        <v>1041184896</v>
      </c>
      <c r="D42" s="48" t="s">
        <v>174</v>
      </c>
      <c r="E42" s="28">
        <v>29</v>
      </c>
      <c r="F42" s="49">
        <v>0</v>
      </c>
      <c r="G42" s="49">
        <v>24</v>
      </c>
      <c r="H42" s="49">
        <v>5</v>
      </c>
      <c r="I42" s="49">
        <v>0</v>
      </c>
      <c r="J42" s="49">
        <v>0</v>
      </c>
      <c r="K42" s="25">
        <v>49</v>
      </c>
      <c r="L42" s="24">
        <v>195</v>
      </c>
    </row>
    <row r="43" spans="1:12" x14ac:dyDescent="0.25">
      <c r="A43" s="11" t="s">
        <v>88</v>
      </c>
      <c r="B43" s="16" t="s">
        <v>109</v>
      </c>
      <c r="C43" s="48">
        <v>663429510</v>
      </c>
      <c r="D43" s="48" t="s">
        <v>138</v>
      </c>
      <c r="E43" s="28">
        <v>32</v>
      </c>
      <c r="F43" s="49">
        <v>0</v>
      </c>
      <c r="G43" s="49">
        <v>26</v>
      </c>
      <c r="H43" s="49">
        <v>5</v>
      </c>
      <c r="I43" s="49">
        <v>0</v>
      </c>
      <c r="J43" s="49">
        <v>1</v>
      </c>
      <c r="K43" s="25">
        <v>69</v>
      </c>
      <c r="L43" s="24">
        <v>275</v>
      </c>
    </row>
    <row r="44" spans="1:12" x14ac:dyDescent="0.25">
      <c r="A44" s="11" t="s">
        <v>88</v>
      </c>
      <c r="B44" s="16" t="s">
        <v>47</v>
      </c>
      <c r="C44" s="48">
        <v>852051372</v>
      </c>
      <c r="D44" s="48" t="s">
        <v>152</v>
      </c>
      <c r="E44" s="28">
        <v>15</v>
      </c>
      <c r="F44" s="49">
        <v>0</v>
      </c>
      <c r="G44" s="49">
        <v>12</v>
      </c>
      <c r="H44" s="49">
        <v>3</v>
      </c>
      <c r="I44" s="49">
        <v>0</v>
      </c>
      <c r="J44" s="49">
        <v>0</v>
      </c>
      <c r="K44" s="25">
        <v>27</v>
      </c>
      <c r="L44" s="24">
        <v>105</v>
      </c>
    </row>
    <row r="45" spans="1:12" x14ac:dyDescent="0.25">
      <c r="A45" s="11" t="s">
        <v>88</v>
      </c>
      <c r="B45" s="16" t="s">
        <v>109</v>
      </c>
      <c r="C45" s="48">
        <v>658843231</v>
      </c>
      <c r="D45" s="48" t="s">
        <v>74</v>
      </c>
      <c r="E45" s="28">
        <v>7</v>
      </c>
      <c r="F45" s="49">
        <v>0</v>
      </c>
      <c r="G45" s="49">
        <v>0</v>
      </c>
      <c r="H45" s="49">
        <v>6</v>
      </c>
      <c r="I45" s="49">
        <v>1</v>
      </c>
      <c r="J45" s="49">
        <v>0</v>
      </c>
      <c r="K45" s="25">
        <v>39</v>
      </c>
      <c r="L45" s="24">
        <v>120</v>
      </c>
    </row>
    <row r="46" spans="1:12" x14ac:dyDescent="0.25">
      <c r="A46" s="11" t="s">
        <v>88</v>
      </c>
      <c r="B46" s="16" t="s">
        <v>109</v>
      </c>
      <c r="C46" s="48">
        <v>1268142112</v>
      </c>
      <c r="D46" s="48" t="s">
        <v>42</v>
      </c>
      <c r="E46" s="28">
        <v>28</v>
      </c>
      <c r="F46" s="49">
        <v>0</v>
      </c>
      <c r="G46" s="49">
        <v>26</v>
      </c>
      <c r="H46" s="49">
        <v>2</v>
      </c>
      <c r="I46" s="49">
        <v>0</v>
      </c>
      <c r="J46" s="49">
        <v>0</v>
      </c>
      <c r="K46" s="25">
        <v>36</v>
      </c>
      <c r="L46" s="24">
        <v>160</v>
      </c>
    </row>
    <row r="47" spans="1:12" x14ac:dyDescent="0.25">
      <c r="A47" s="11" t="s">
        <v>88</v>
      </c>
      <c r="B47" s="16" t="s">
        <v>109</v>
      </c>
      <c r="C47" s="48">
        <v>973732352</v>
      </c>
      <c r="D47" s="48" t="s">
        <v>65</v>
      </c>
      <c r="E47" s="28">
        <v>19</v>
      </c>
      <c r="F47" s="49">
        <v>0</v>
      </c>
      <c r="G47" s="49">
        <v>16</v>
      </c>
      <c r="H47" s="49">
        <v>2</v>
      </c>
      <c r="I47" s="49">
        <v>1</v>
      </c>
      <c r="J47" s="49">
        <v>0</v>
      </c>
      <c r="K47" s="25">
        <v>35</v>
      </c>
      <c r="L47" s="24">
        <v>140</v>
      </c>
    </row>
    <row r="48" spans="1:12" x14ac:dyDescent="0.25">
      <c r="A48" s="11" t="s">
        <v>88</v>
      </c>
      <c r="B48" s="16" t="s">
        <v>109</v>
      </c>
      <c r="C48" s="48">
        <v>869080899</v>
      </c>
      <c r="D48" s="48" t="s">
        <v>93</v>
      </c>
      <c r="E48" s="28">
        <v>19</v>
      </c>
      <c r="F48" s="49">
        <v>0</v>
      </c>
      <c r="G48" s="49">
        <v>15</v>
      </c>
      <c r="H48" s="49">
        <v>4</v>
      </c>
      <c r="I48" s="49">
        <v>0</v>
      </c>
      <c r="J48" s="49">
        <v>0</v>
      </c>
      <c r="K48" s="25">
        <v>35</v>
      </c>
      <c r="L48" s="24">
        <v>135</v>
      </c>
    </row>
    <row r="49" spans="1:12" x14ac:dyDescent="0.25">
      <c r="A49" s="11" t="s">
        <v>88</v>
      </c>
      <c r="B49" s="16" t="s">
        <v>109</v>
      </c>
      <c r="C49" s="48">
        <v>916473485</v>
      </c>
      <c r="D49" s="48" t="s">
        <v>103</v>
      </c>
      <c r="E49" s="28">
        <v>20</v>
      </c>
      <c r="F49" s="49">
        <v>0</v>
      </c>
      <c r="G49" s="49">
        <v>16</v>
      </c>
      <c r="H49" s="49">
        <v>4</v>
      </c>
      <c r="I49" s="49">
        <v>0</v>
      </c>
      <c r="J49" s="49">
        <v>0</v>
      </c>
      <c r="K49" s="25">
        <v>36</v>
      </c>
      <c r="L49" s="24">
        <v>140</v>
      </c>
    </row>
    <row r="50" spans="1:12" x14ac:dyDescent="0.25">
      <c r="A50" s="11" t="s">
        <v>88</v>
      </c>
      <c r="B50" s="16" t="s">
        <v>109</v>
      </c>
      <c r="C50" s="48">
        <v>500920417</v>
      </c>
      <c r="D50" s="48" t="s">
        <v>123</v>
      </c>
      <c r="E50" s="28">
        <v>29</v>
      </c>
      <c r="F50" s="49">
        <v>0</v>
      </c>
      <c r="G50" s="49">
        <v>15</v>
      </c>
      <c r="H50" s="49">
        <v>14</v>
      </c>
      <c r="I50" s="49">
        <v>0</v>
      </c>
      <c r="J50" s="49">
        <v>0</v>
      </c>
      <c r="K50" s="25">
        <v>85</v>
      </c>
      <c r="L50" s="24">
        <v>285</v>
      </c>
    </row>
    <row r="51" spans="1:12" x14ac:dyDescent="0.25">
      <c r="A51" s="11" t="s">
        <v>88</v>
      </c>
      <c r="B51" s="16" t="s">
        <v>109</v>
      </c>
      <c r="C51" s="48">
        <v>376342700</v>
      </c>
      <c r="D51" s="48" t="s">
        <v>140</v>
      </c>
      <c r="E51" s="28">
        <v>21</v>
      </c>
      <c r="F51" s="49">
        <v>0</v>
      </c>
      <c r="G51" s="49">
        <v>11</v>
      </c>
      <c r="H51" s="49">
        <v>10</v>
      </c>
      <c r="I51" s="49">
        <v>0</v>
      </c>
      <c r="J51" s="49">
        <v>0</v>
      </c>
      <c r="K51" s="25">
        <v>61</v>
      </c>
      <c r="L51" s="24">
        <v>205</v>
      </c>
    </row>
    <row r="52" spans="1:12" x14ac:dyDescent="0.25">
      <c r="A52" s="11" t="s">
        <v>88</v>
      </c>
      <c r="B52" s="16" t="s">
        <v>109</v>
      </c>
      <c r="C52" s="48">
        <v>1915163097</v>
      </c>
      <c r="D52" s="48" t="s">
        <v>78</v>
      </c>
      <c r="E52" s="28">
        <v>35</v>
      </c>
      <c r="F52" s="49">
        <v>0</v>
      </c>
      <c r="G52" s="49">
        <v>35</v>
      </c>
      <c r="H52" s="49">
        <v>0</v>
      </c>
      <c r="I52" s="49">
        <v>0</v>
      </c>
      <c r="J52" s="49">
        <v>0</v>
      </c>
      <c r="K52" s="25">
        <v>35</v>
      </c>
      <c r="L52" s="24">
        <v>175</v>
      </c>
    </row>
    <row r="53" spans="1:12" x14ac:dyDescent="0.25">
      <c r="A53" s="11" t="s">
        <v>88</v>
      </c>
      <c r="B53" s="16" t="s">
        <v>109</v>
      </c>
      <c r="C53" s="48">
        <v>651360013</v>
      </c>
      <c r="D53" s="48" t="s">
        <v>170</v>
      </c>
      <c r="E53" s="28">
        <v>19</v>
      </c>
      <c r="F53" s="49">
        <v>0</v>
      </c>
      <c r="G53" s="49">
        <v>15</v>
      </c>
      <c r="H53" s="49">
        <v>4</v>
      </c>
      <c r="I53" s="49">
        <v>0</v>
      </c>
      <c r="J53" s="49">
        <v>0</v>
      </c>
      <c r="K53" s="25">
        <v>35</v>
      </c>
      <c r="L53" s="24">
        <v>135</v>
      </c>
    </row>
    <row r="54" spans="1:12" x14ac:dyDescent="0.25">
      <c r="A54" s="11" t="s">
        <v>88</v>
      </c>
      <c r="B54" s="16" t="s">
        <v>109</v>
      </c>
      <c r="C54" s="48">
        <v>368989323</v>
      </c>
      <c r="D54" s="48" t="s">
        <v>30</v>
      </c>
      <c r="E54" s="28">
        <v>26</v>
      </c>
      <c r="F54" s="49">
        <v>0</v>
      </c>
      <c r="G54" s="49">
        <v>23</v>
      </c>
      <c r="H54" s="49">
        <v>2</v>
      </c>
      <c r="I54" s="49">
        <v>1</v>
      </c>
      <c r="J54" s="49">
        <v>0</v>
      </c>
      <c r="K54" s="25">
        <v>42</v>
      </c>
      <c r="L54" s="24">
        <v>175</v>
      </c>
    </row>
    <row r="55" spans="1:12" x14ac:dyDescent="0.25">
      <c r="A55" s="11" t="s">
        <v>110</v>
      </c>
      <c r="B55" s="16" t="s">
        <v>109</v>
      </c>
      <c r="C55" s="48">
        <v>1067470462</v>
      </c>
      <c r="D55" s="48" t="s">
        <v>160</v>
      </c>
      <c r="E55" s="28">
        <v>19</v>
      </c>
      <c r="F55" s="49">
        <v>0</v>
      </c>
      <c r="G55" s="49">
        <v>19</v>
      </c>
      <c r="H55" s="49">
        <v>0</v>
      </c>
      <c r="I55" s="49">
        <v>0</v>
      </c>
      <c r="J55" s="49">
        <v>0</v>
      </c>
      <c r="K55" s="25">
        <v>19</v>
      </c>
      <c r="L55" s="24">
        <v>95</v>
      </c>
    </row>
    <row r="56" spans="1:12" x14ac:dyDescent="0.25">
      <c r="A56" s="11" t="s">
        <v>88</v>
      </c>
      <c r="B56" s="16" t="s">
        <v>47</v>
      </c>
      <c r="C56" s="48">
        <v>952505208</v>
      </c>
      <c r="D56" s="48" t="s">
        <v>189</v>
      </c>
      <c r="E56" s="28">
        <v>9</v>
      </c>
      <c r="F56" s="49">
        <v>0</v>
      </c>
      <c r="G56" s="49">
        <v>9</v>
      </c>
      <c r="H56" s="49">
        <v>0</v>
      </c>
      <c r="I56" s="49">
        <v>0</v>
      </c>
      <c r="J56" s="49">
        <v>0</v>
      </c>
      <c r="K56" s="25">
        <v>9</v>
      </c>
      <c r="L56" s="24">
        <v>45</v>
      </c>
    </row>
    <row r="57" spans="1:12" x14ac:dyDescent="0.25">
      <c r="A57" s="11" t="s">
        <v>88</v>
      </c>
      <c r="B57" s="16" t="s">
        <v>47</v>
      </c>
      <c r="C57" s="48">
        <v>422938512</v>
      </c>
      <c r="D57" s="48" t="s">
        <v>190</v>
      </c>
      <c r="E57" s="28">
        <v>4</v>
      </c>
      <c r="F57" s="49">
        <v>0</v>
      </c>
      <c r="G57" s="49">
        <v>2</v>
      </c>
      <c r="H57" s="49">
        <v>2</v>
      </c>
      <c r="I57" s="49">
        <v>0</v>
      </c>
      <c r="J57" s="49">
        <v>0</v>
      </c>
      <c r="K57" s="25">
        <v>12</v>
      </c>
      <c r="L57" s="24">
        <v>40</v>
      </c>
    </row>
    <row r="58" spans="1:12" x14ac:dyDescent="0.25">
      <c r="A58" s="11" t="s">
        <v>88</v>
      </c>
      <c r="B58" s="16" t="s">
        <v>109</v>
      </c>
      <c r="C58" s="48">
        <v>526268020</v>
      </c>
      <c r="D58" s="48" t="s">
        <v>28</v>
      </c>
      <c r="E58" s="28">
        <v>33</v>
      </c>
      <c r="F58" s="49">
        <v>0</v>
      </c>
      <c r="G58" s="49">
        <v>30</v>
      </c>
      <c r="H58" s="49">
        <v>3</v>
      </c>
      <c r="I58" s="49">
        <v>0</v>
      </c>
      <c r="J58" s="49">
        <v>0</v>
      </c>
      <c r="K58" s="25">
        <v>45</v>
      </c>
      <c r="L58" s="24">
        <v>195</v>
      </c>
    </row>
    <row r="59" spans="1:12" x14ac:dyDescent="0.25">
      <c r="A59" s="11" t="s">
        <v>88</v>
      </c>
      <c r="B59" s="16" t="s">
        <v>47</v>
      </c>
      <c r="C59" s="48">
        <v>1279827382</v>
      </c>
      <c r="D59" s="48" t="s">
        <v>142</v>
      </c>
      <c r="E59" s="28">
        <v>10</v>
      </c>
      <c r="F59" s="49">
        <v>0</v>
      </c>
      <c r="G59" s="49">
        <v>6</v>
      </c>
      <c r="H59" s="49">
        <v>4</v>
      </c>
      <c r="I59" s="49">
        <v>0</v>
      </c>
      <c r="J59" s="49">
        <v>0</v>
      </c>
      <c r="K59" s="25">
        <v>26</v>
      </c>
      <c r="L59" s="24">
        <v>90</v>
      </c>
    </row>
    <row r="60" spans="1:12" x14ac:dyDescent="0.25">
      <c r="A60" s="11" t="s">
        <v>88</v>
      </c>
      <c r="B60" s="16" t="s">
        <v>47</v>
      </c>
      <c r="C60" s="48">
        <v>807062911</v>
      </c>
      <c r="D60" s="48" t="s">
        <v>143</v>
      </c>
      <c r="E60" s="28">
        <v>0</v>
      </c>
      <c r="F60" s="49">
        <v>0</v>
      </c>
      <c r="G60" s="49">
        <v>0</v>
      </c>
      <c r="H60" s="49">
        <v>0</v>
      </c>
      <c r="I60" s="49">
        <v>0</v>
      </c>
      <c r="J60" s="49">
        <v>0</v>
      </c>
      <c r="K60" s="25">
        <v>0</v>
      </c>
      <c r="L60" s="24">
        <v>0</v>
      </c>
    </row>
    <row r="61" spans="1:12" x14ac:dyDescent="0.25">
      <c r="A61" s="11" t="s">
        <v>88</v>
      </c>
      <c r="B61" s="16" t="s">
        <v>109</v>
      </c>
      <c r="C61" s="48">
        <v>1276495104</v>
      </c>
      <c r="D61" s="48" t="s">
        <v>144</v>
      </c>
      <c r="E61" s="28">
        <v>33</v>
      </c>
      <c r="F61" s="49">
        <v>0</v>
      </c>
      <c r="G61" s="49">
        <v>28</v>
      </c>
      <c r="H61" s="49">
        <v>5</v>
      </c>
      <c r="I61" s="49">
        <v>0</v>
      </c>
      <c r="J61" s="49">
        <v>0</v>
      </c>
      <c r="K61" s="25">
        <v>53</v>
      </c>
      <c r="L61" s="24">
        <v>215</v>
      </c>
    </row>
    <row r="62" spans="1:12" x14ac:dyDescent="0.25">
      <c r="A62" s="11" t="s">
        <v>88</v>
      </c>
      <c r="B62" s="16" t="s">
        <v>109</v>
      </c>
      <c r="C62" s="48">
        <v>829026210</v>
      </c>
      <c r="D62" s="48" t="s">
        <v>100</v>
      </c>
      <c r="E62" s="28">
        <v>35</v>
      </c>
      <c r="F62" s="49">
        <v>0</v>
      </c>
      <c r="G62" s="49">
        <v>35</v>
      </c>
      <c r="H62" s="49">
        <v>0</v>
      </c>
      <c r="I62" s="49">
        <v>0</v>
      </c>
      <c r="J62" s="49">
        <v>0</v>
      </c>
      <c r="K62" s="25">
        <v>35</v>
      </c>
      <c r="L62" s="24">
        <v>175</v>
      </c>
    </row>
    <row r="63" spans="1:12" x14ac:dyDescent="0.25">
      <c r="A63" s="11" t="s">
        <v>88</v>
      </c>
      <c r="B63" s="16" t="s">
        <v>47</v>
      </c>
      <c r="C63" s="48">
        <v>1041187189</v>
      </c>
      <c r="D63" s="48" t="s">
        <v>159</v>
      </c>
      <c r="E63" s="28">
        <v>4</v>
      </c>
      <c r="F63" s="49">
        <v>0</v>
      </c>
      <c r="G63" s="49">
        <v>1</v>
      </c>
      <c r="H63" s="49">
        <v>2</v>
      </c>
      <c r="I63" s="49">
        <v>1</v>
      </c>
      <c r="J63" s="49">
        <v>0</v>
      </c>
      <c r="K63" s="25">
        <v>20</v>
      </c>
      <c r="L63" s="24">
        <v>65</v>
      </c>
    </row>
    <row r="64" spans="1:12" x14ac:dyDescent="0.25">
      <c r="A64" s="11" t="s">
        <v>88</v>
      </c>
      <c r="B64" s="16" t="s">
        <v>47</v>
      </c>
      <c r="C64" s="48">
        <v>1040811175</v>
      </c>
      <c r="D64" s="48" t="s">
        <v>145</v>
      </c>
      <c r="E64" s="28">
        <v>22</v>
      </c>
      <c r="F64" s="49">
        <v>0</v>
      </c>
      <c r="G64" s="49">
        <v>19</v>
      </c>
      <c r="H64" s="49">
        <v>3</v>
      </c>
      <c r="I64" s="49">
        <v>0</v>
      </c>
      <c r="J64" s="49">
        <v>0</v>
      </c>
      <c r="K64" s="25">
        <v>34</v>
      </c>
      <c r="L64" s="24">
        <v>140</v>
      </c>
    </row>
    <row r="65" spans="1:12" x14ac:dyDescent="0.25">
      <c r="A65" s="11" t="s">
        <v>88</v>
      </c>
      <c r="B65" s="16" t="s">
        <v>47</v>
      </c>
      <c r="C65" s="48">
        <v>526144427</v>
      </c>
      <c r="D65" s="48" t="s">
        <v>146</v>
      </c>
      <c r="E65" s="28">
        <v>8</v>
      </c>
      <c r="F65" s="49">
        <v>0</v>
      </c>
      <c r="G65" s="49">
        <v>4</v>
      </c>
      <c r="H65" s="49">
        <v>4</v>
      </c>
      <c r="I65" s="49">
        <v>0</v>
      </c>
      <c r="J65" s="49">
        <v>0</v>
      </c>
      <c r="K65" s="25">
        <v>24</v>
      </c>
      <c r="L65" s="24">
        <v>80</v>
      </c>
    </row>
    <row r="66" spans="1:12" x14ac:dyDescent="0.25">
      <c r="A66" s="11" t="s">
        <v>88</v>
      </c>
      <c r="B66" s="16" t="s">
        <v>109</v>
      </c>
      <c r="C66" s="48">
        <v>677616563</v>
      </c>
      <c r="D66" s="48" t="s">
        <v>172</v>
      </c>
      <c r="E66" s="28">
        <v>30</v>
      </c>
      <c r="F66" s="49">
        <v>0</v>
      </c>
      <c r="G66" s="49">
        <v>26</v>
      </c>
      <c r="H66" s="49">
        <v>4</v>
      </c>
      <c r="I66" s="49">
        <v>0</v>
      </c>
      <c r="J66" s="49">
        <v>0</v>
      </c>
      <c r="K66" s="25">
        <v>46</v>
      </c>
      <c r="L66" s="24">
        <v>190</v>
      </c>
    </row>
    <row r="67" spans="1:12" x14ac:dyDescent="0.25">
      <c r="A67" s="11" t="s">
        <v>88</v>
      </c>
      <c r="B67" s="16" t="s">
        <v>109</v>
      </c>
      <c r="C67" s="48">
        <v>1040607318</v>
      </c>
      <c r="D67" s="48" t="s">
        <v>148</v>
      </c>
      <c r="E67" s="28">
        <v>36</v>
      </c>
      <c r="F67" s="49">
        <v>0</v>
      </c>
      <c r="G67" s="49">
        <v>30</v>
      </c>
      <c r="H67" s="49">
        <v>6</v>
      </c>
      <c r="I67" s="49">
        <v>0</v>
      </c>
      <c r="J67" s="49">
        <v>0</v>
      </c>
      <c r="K67" s="25">
        <v>60</v>
      </c>
      <c r="L67" s="24">
        <v>240</v>
      </c>
    </row>
    <row r="68" spans="1:12" x14ac:dyDescent="0.25">
      <c r="A68" s="11" t="s">
        <v>88</v>
      </c>
      <c r="B68" s="16" t="s">
        <v>109</v>
      </c>
      <c r="C68" s="48">
        <v>605950874</v>
      </c>
      <c r="D68" s="48" t="s">
        <v>149</v>
      </c>
      <c r="E68" s="28">
        <v>17</v>
      </c>
      <c r="F68" s="49">
        <v>0</v>
      </c>
      <c r="G68" s="49">
        <v>9</v>
      </c>
      <c r="H68" s="49">
        <v>8</v>
      </c>
      <c r="I68" s="49">
        <v>0</v>
      </c>
      <c r="J68" s="49">
        <v>0</v>
      </c>
      <c r="K68" s="25">
        <v>49</v>
      </c>
      <c r="L68" s="24">
        <v>165</v>
      </c>
    </row>
    <row r="69" spans="1:12" x14ac:dyDescent="0.25">
      <c r="A69" s="11" t="s">
        <v>88</v>
      </c>
      <c r="B69" s="16" t="s">
        <v>109</v>
      </c>
      <c r="C69" s="48">
        <v>1923743214</v>
      </c>
      <c r="D69" s="48" t="s">
        <v>83</v>
      </c>
      <c r="E69" s="28">
        <v>35</v>
      </c>
      <c r="F69" s="49">
        <v>0</v>
      </c>
      <c r="G69" s="49">
        <v>35</v>
      </c>
      <c r="H69" s="49">
        <v>0</v>
      </c>
      <c r="I69" s="49">
        <v>0</v>
      </c>
      <c r="J69" s="49">
        <v>0</v>
      </c>
      <c r="K69" s="25">
        <v>35</v>
      </c>
      <c r="L69" s="24">
        <v>175</v>
      </c>
    </row>
    <row r="70" spans="1:12" x14ac:dyDescent="0.25">
      <c r="A70" s="11" t="s">
        <v>88</v>
      </c>
      <c r="B70" s="16" t="s">
        <v>109</v>
      </c>
      <c r="C70" s="48">
        <v>1913187635</v>
      </c>
      <c r="D70" s="48" t="s">
        <v>84</v>
      </c>
      <c r="E70" s="28">
        <v>31</v>
      </c>
      <c r="F70" s="49">
        <v>0</v>
      </c>
      <c r="G70" s="49">
        <v>30</v>
      </c>
      <c r="H70" s="49">
        <v>1</v>
      </c>
      <c r="I70" s="49">
        <v>0</v>
      </c>
      <c r="J70" s="49">
        <v>0</v>
      </c>
      <c r="K70" s="25">
        <v>35</v>
      </c>
      <c r="L70" s="24">
        <v>165</v>
      </c>
    </row>
    <row r="71" spans="1:12" x14ac:dyDescent="0.25">
      <c r="A71" s="11" t="s">
        <v>88</v>
      </c>
      <c r="B71" s="16" t="s">
        <v>109</v>
      </c>
      <c r="C71" s="48">
        <v>1919512898</v>
      </c>
      <c r="D71" s="48" t="s">
        <v>182</v>
      </c>
      <c r="E71" s="28">
        <v>28</v>
      </c>
      <c r="F71" s="49">
        <v>0</v>
      </c>
      <c r="G71" s="49">
        <v>26</v>
      </c>
      <c r="H71" s="49">
        <v>2</v>
      </c>
      <c r="I71" s="49">
        <v>0</v>
      </c>
      <c r="J71" s="49">
        <v>0</v>
      </c>
      <c r="K71" s="25">
        <v>36</v>
      </c>
      <c r="L71" s="24">
        <v>160</v>
      </c>
    </row>
    <row r="72" spans="1:12" x14ac:dyDescent="0.25">
      <c r="A72" s="11" t="s">
        <v>88</v>
      </c>
      <c r="B72" s="16" t="s">
        <v>109</v>
      </c>
      <c r="C72" s="48">
        <v>395091349</v>
      </c>
      <c r="D72" s="48" t="s">
        <v>183</v>
      </c>
      <c r="E72" s="28">
        <v>38</v>
      </c>
      <c r="F72" s="49">
        <v>0</v>
      </c>
      <c r="G72" s="49">
        <v>35</v>
      </c>
      <c r="H72" s="49">
        <v>1</v>
      </c>
      <c r="I72" s="49">
        <v>2</v>
      </c>
      <c r="J72" s="49">
        <v>0</v>
      </c>
      <c r="K72" s="25">
        <v>58</v>
      </c>
      <c r="L72" s="24">
        <v>250</v>
      </c>
    </row>
    <row r="73" spans="1:12" x14ac:dyDescent="0.25">
      <c r="A73" s="11" t="s">
        <v>88</v>
      </c>
      <c r="B73" s="16" t="s">
        <v>109</v>
      </c>
      <c r="C73" s="48">
        <v>640955210</v>
      </c>
      <c r="D73" s="48" t="s">
        <v>175</v>
      </c>
      <c r="E73" s="28">
        <v>16</v>
      </c>
      <c r="F73" s="49">
        <v>0</v>
      </c>
      <c r="G73" s="49">
        <v>10</v>
      </c>
      <c r="H73" s="49">
        <v>4</v>
      </c>
      <c r="I73" s="49">
        <v>2</v>
      </c>
      <c r="J73" s="49">
        <v>0</v>
      </c>
      <c r="K73" s="25">
        <v>48</v>
      </c>
      <c r="L73" s="24">
        <v>170</v>
      </c>
    </row>
    <row r="74" spans="1:12" x14ac:dyDescent="0.25">
      <c r="A74" s="11" t="s">
        <v>88</v>
      </c>
      <c r="B74" s="16" t="s">
        <v>109</v>
      </c>
      <c r="C74" s="48">
        <v>424972261</v>
      </c>
      <c r="D74" s="48" t="s">
        <v>150</v>
      </c>
      <c r="E74" s="28">
        <v>20</v>
      </c>
      <c r="F74" s="49">
        <v>0</v>
      </c>
      <c r="G74" s="49">
        <v>10</v>
      </c>
      <c r="H74" s="49">
        <v>10</v>
      </c>
      <c r="I74" s="49">
        <v>0</v>
      </c>
      <c r="J74" s="49">
        <v>0</v>
      </c>
      <c r="K74" s="25">
        <v>60</v>
      </c>
      <c r="L74" s="24">
        <v>200</v>
      </c>
    </row>
    <row r="75" spans="1:12" x14ac:dyDescent="0.25">
      <c r="A75" s="11" t="s">
        <v>88</v>
      </c>
      <c r="B75" s="16" t="s">
        <v>109</v>
      </c>
      <c r="C75" s="48">
        <v>940947273</v>
      </c>
      <c r="D75" s="48" t="s">
        <v>166</v>
      </c>
      <c r="E75" s="28">
        <v>21</v>
      </c>
      <c r="F75" s="49">
        <v>0</v>
      </c>
      <c r="G75" s="49">
        <v>17</v>
      </c>
      <c r="H75" s="49">
        <v>4</v>
      </c>
      <c r="I75" s="49">
        <v>0</v>
      </c>
      <c r="J75" s="49">
        <v>0</v>
      </c>
      <c r="K75" s="25">
        <v>37</v>
      </c>
      <c r="L75" s="24">
        <v>145</v>
      </c>
    </row>
    <row r="76" spans="1:12" x14ac:dyDescent="0.25">
      <c r="A76" s="11" t="s">
        <v>88</v>
      </c>
      <c r="B76" s="16" t="s">
        <v>109</v>
      </c>
      <c r="C76" s="48">
        <v>710619616</v>
      </c>
      <c r="D76" s="48" t="s">
        <v>125</v>
      </c>
      <c r="E76" s="28">
        <v>12</v>
      </c>
      <c r="F76" s="49">
        <v>0</v>
      </c>
      <c r="G76" s="49">
        <v>1</v>
      </c>
      <c r="H76" s="49">
        <v>7</v>
      </c>
      <c r="I76" s="49">
        <v>4</v>
      </c>
      <c r="J76" s="49">
        <v>0</v>
      </c>
      <c r="K76" s="25">
        <v>72</v>
      </c>
      <c r="L76" s="24">
        <v>230</v>
      </c>
    </row>
    <row r="77" spans="1:12" x14ac:dyDescent="0.25">
      <c r="A77" s="11" t="s">
        <v>88</v>
      </c>
      <c r="B77" s="16" t="s">
        <v>109</v>
      </c>
      <c r="C77" s="48">
        <v>1294894373</v>
      </c>
      <c r="D77" s="48" t="s">
        <v>163</v>
      </c>
      <c r="E77" s="28">
        <v>10</v>
      </c>
      <c r="F77" s="49">
        <v>0</v>
      </c>
      <c r="G77" s="49">
        <v>3</v>
      </c>
      <c r="H77" s="49">
        <v>7</v>
      </c>
      <c r="I77" s="49">
        <v>0</v>
      </c>
      <c r="J77" s="49">
        <v>0</v>
      </c>
      <c r="K77" s="25">
        <v>38</v>
      </c>
      <c r="L77" s="24">
        <v>120</v>
      </c>
    </row>
    <row r="78" spans="1:12" x14ac:dyDescent="0.25">
      <c r="A78" s="11" t="s">
        <v>88</v>
      </c>
      <c r="B78" s="16" t="s">
        <v>109</v>
      </c>
      <c r="C78" s="48">
        <v>989087967</v>
      </c>
      <c r="D78" s="48" t="s">
        <v>162</v>
      </c>
      <c r="E78" s="28">
        <v>11</v>
      </c>
      <c r="F78" s="49">
        <v>0</v>
      </c>
      <c r="G78" s="49">
        <v>4</v>
      </c>
      <c r="H78" s="49">
        <v>7</v>
      </c>
      <c r="I78" s="49">
        <v>0</v>
      </c>
      <c r="J78" s="49">
        <v>0</v>
      </c>
      <c r="K78" s="25">
        <v>39</v>
      </c>
      <c r="L78" s="24">
        <v>125</v>
      </c>
    </row>
    <row r="79" spans="1:12" x14ac:dyDescent="0.25">
      <c r="A79" s="11" t="s">
        <v>88</v>
      </c>
      <c r="B79" s="16" t="s">
        <v>47</v>
      </c>
      <c r="C79" s="48">
        <v>1769834648</v>
      </c>
      <c r="D79" s="48" t="s">
        <v>36</v>
      </c>
      <c r="E79" s="28">
        <v>30</v>
      </c>
      <c r="F79" s="49">
        <v>0</v>
      </c>
      <c r="G79" s="49">
        <v>30</v>
      </c>
      <c r="H79" s="49">
        <v>0</v>
      </c>
      <c r="I79" s="49">
        <v>0</v>
      </c>
      <c r="J79" s="49">
        <v>0</v>
      </c>
      <c r="K79" s="25">
        <v>30</v>
      </c>
      <c r="L79" s="24">
        <v>150</v>
      </c>
    </row>
    <row r="80" spans="1:12" x14ac:dyDescent="0.25">
      <c r="A80" s="11" t="s">
        <v>88</v>
      </c>
      <c r="B80" s="16" t="s">
        <v>109</v>
      </c>
      <c r="C80" s="48">
        <v>1467795273</v>
      </c>
      <c r="D80" s="48" t="s">
        <v>38</v>
      </c>
      <c r="E80" s="28">
        <v>13</v>
      </c>
      <c r="F80" s="49">
        <v>0</v>
      </c>
      <c r="G80" s="49">
        <v>5</v>
      </c>
      <c r="H80" s="49">
        <v>8</v>
      </c>
      <c r="I80" s="49">
        <v>0</v>
      </c>
      <c r="J80" s="49">
        <v>0</v>
      </c>
      <c r="K80" s="25">
        <v>45</v>
      </c>
      <c r="L80" s="24">
        <v>145</v>
      </c>
    </row>
    <row r="81" spans="1:12" x14ac:dyDescent="0.25">
      <c r="A81" s="11" t="s">
        <v>88</v>
      </c>
      <c r="B81" s="16" t="s">
        <v>109</v>
      </c>
      <c r="C81" s="48">
        <v>821134729</v>
      </c>
      <c r="D81" s="48" t="s">
        <v>153</v>
      </c>
      <c r="E81" s="28">
        <v>36</v>
      </c>
      <c r="F81" s="49">
        <v>0</v>
      </c>
      <c r="G81" s="49">
        <v>35</v>
      </c>
      <c r="H81" s="49">
        <v>1</v>
      </c>
      <c r="I81" s="49">
        <v>0</v>
      </c>
      <c r="J81" s="49">
        <v>0</v>
      </c>
      <c r="K81" s="25">
        <v>40</v>
      </c>
      <c r="L81" s="24">
        <v>190</v>
      </c>
    </row>
    <row r="82" spans="1:12" x14ac:dyDescent="0.25">
      <c r="A82" s="11" t="s">
        <v>88</v>
      </c>
      <c r="B82" s="16" t="s">
        <v>109</v>
      </c>
      <c r="C82" s="48">
        <v>777343597</v>
      </c>
      <c r="D82" s="48" t="s">
        <v>113</v>
      </c>
      <c r="E82" s="28">
        <v>27</v>
      </c>
      <c r="F82" s="49">
        <v>0</v>
      </c>
      <c r="G82" s="49">
        <v>25</v>
      </c>
      <c r="H82" s="49">
        <v>2</v>
      </c>
      <c r="I82" s="49">
        <v>0</v>
      </c>
      <c r="J82" s="49">
        <v>0</v>
      </c>
      <c r="K82" s="25">
        <v>35</v>
      </c>
      <c r="L82" s="24">
        <v>155</v>
      </c>
    </row>
    <row r="83" spans="1:12" x14ac:dyDescent="0.25">
      <c r="A83" s="11" t="s">
        <v>88</v>
      </c>
      <c r="B83" s="16" t="s">
        <v>109</v>
      </c>
      <c r="C83" s="48">
        <v>701806212</v>
      </c>
      <c r="D83" s="48" t="s">
        <v>114</v>
      </c>
      <c r="E83" s="28">
        <v>20</v>
      </c>
      <c r="F83" s="49">
        <v>0</v>
      </c>
      <c r="G83" s="49">
        <v>17</v>
      </c>
      <c r="H83" s="49">
        <v>2</v>
      </c>
      <c r="I83" s="49">
        <v>1</v>
      </c>
      <c r="J83" s="49">
        <v>0</v>
      </c>
      <c r="K83" s="25">
        <v>36</v>
      </c>
      <c r="L83" s="24">
        <v>145</v>
      </c>
    </row>
    <row r="84" spans="1:12" x14ac:dyDescent="0.25">
      <c r="A84" s="11" t="s">
        <v>110</v>
      </c>
      <c r="B84" s="16" t="s">
        <v>109</v>
      </c>
      <c r="C84" s="48">
        <v>1264043363</v>
      </c>
      <c r="D84" s="48" t="s">
        <v>154</v>
      </c>
      <c r="E84" s="28">
        <v>6</v>
      </c>
      <c r="F84" s="49">
        <v>0</v>
      </c>
      <c r="G84" s="49">
        <v>0</v>
      </c>
      <c r="H84" s="49">
        <v>6</v>
      </c>
      <c r="I84" s="49">
        <v>0</v>
      </c>
      <c r="J84" s="49">
        <v>0</v>
      </c>
      <c r="K84" s="25">
        <v>30</v>
      </c>
      <c r="L84" s="24">
        <v>90</v>
      </c>
    </row>
    <row r="85" spans="1:12" x14ac:dyDescent="0.25">
      <c r="A85" s="11" t="s">
        <v>88</v>
      </c>
      <c r="B85" s="16" t="s">
        <v>109</v>
      </c>
      <c r="C85" s="48">
        <v>1917368618</v>
      </c>
      <c r="D85" s="48" t="s">
        <v>39</v>
      </c>
      <c r="E85" s="28">
        <v>35</v>
      </c>
      <c r="F85" s="49">
        <v>0</v>
      </c>
      <c r="G85" s="49">
        <v>35</v>
      </c>
      <c r="H85" s="49">
        <v>0</v>
      </c>
      <c r="I85" s="49">
        <v>0</v>
      </c>
      <c r="J85" s="49">
        <v>0</v>
      </c>
      <c r="K85" s="25">
        <v>35</v>
      </c>
      <c r="L85" s="24">
        <v>175</v>
      </c>
    </row>
    <row r="86" spans="1:12" x14ac:dyDescent="0.25">
      <c r="A86" s="11" t="s">
        <v>88</v>
      </c>
      <c r="B86" s="16" t="s">
        <v>47</v>
      </c>
      <c r="C86" s="48">
        <v>1727138266</v>
      </c>
      <c r="D86" s="48" t="s">
        <v>191</v>
      </c>
      <c r="E86" s="28">
        <v>4</v>
      </c>
      <c r="F86" s="49">
        <v>0</v>
      </c>
      <c r="G86" s="49">
        <v>1</v>
      </c>
      <c r="H86" s="49">
        <v>3</v>
      </c>
      <c r="I86" s="49">
        <v>0</v>
      </c>
      <c r="J86" s="49">
        <v>0</v>
      </c>
      <c r="K86" s="25">
        <v>16</v>
      </c>
      <c r="L86" s="24">
        <v>50</v>
      </c>
    </row>
    <row r="87" spans="1:12" x14ac:dyDescent="0.25">
      <c r="A87" s="11" t="s">
        <v>110</v>
      </c>
      <c r="B87" s="16" t="s">
        <v>109</v>
      </c>
      <c r="C87" s="48">
        <v>1931591455</v>
      </c>
      <c r="D87" s="48" t="s">
        <v>115</v>
      </c>
      <c r="E87" s="28">
        <v>5</v>
      </c>
      <c r="F87" s="49">
        <v>0</v>
      </c>
      <c r="G87" s="49">
        <v>4</v>
      </c>
      <c r="H87" s="49">
        <v>1</v>
      </c>
      <c r="I87" s="49">
        <v>0</v>
      </c>
      <c r="J87" s="49">
        <v>0</v>
      </c>
      <c r="K87" s="25">
        <v>9</v>
      </c>
      <c r="L87" s="24">
        <v>35</v>
      </c>
    </row>
    <row r="88" spans="1:12" x14ac:dyDescent="0.25">
      <c r="A88" s="11" t="s">
        <v>88</v>
      </c>
      <c r="B88" s="16" t="s">
        <v>47</v>
      </c>
      <c r="C88" s="48">
        <v>874666931</v>
      </c>
      <c r="D88" s="48" t="s">
        <v>43</v>
      </c>
      <c r="E88" s="28">
        <v>5</v>
      </c>
      <c r="F88" s="49">
        <v>0</v>
      </c>
      <c r="G88" s="49">
        <v>5</v>
      </c>
      <c r="H88" s="49">
        <v>0</v>
      </c>
      <c r="I88" s="49">
        <v>0</v>
      </c>
      <c r="J88" s="49">
        <v>0</v>
      </c>
      <c r="K88" s="25">
        <v>5</v>
      </c>
      <c r="L88" s="24">
        <v>25</v>
      </c>
    </row>
    <row r="89" spans="1:12" x14ac:dyDescent="0.25">
      <c r="A89" s="11" t="s">
        <v>88</v>
      </c>
      <c r="B89" s="16" t="s">
        <v>47</v>
      </c>
      <c r="C89" s="48">
        <v>736031655</v>
      </c>
      <c r="D89" s="48" t="s">
        <v>192</v>
      </c>
      <c r="E89" s="28">
        <v>0</v>
      </c>
      <c r="F89" s="49">
        <v>0</v>
      </c>
      <c r="G89" s="49">
        <v>0</v>
      </c>
      <c r="H89" s="49">
        <v>0</v>
      </c>
      <c r="I89" s="49">
        <v>0</v>
      </c>
      <c r="J89" s="49">
        <v>0</v>
      </c>
      <c r="K89" s="25">
        <v>0</v>
      </c>
      <c r="L89" s="24">
        <v>0</v>
      </c>
    </row>
    <row r="90" spans="1:12" x14ac:dyDescent="0.25">
      <c r="A90" s="11" t="s">
        <v>88</v>
      </c>
      <c r="B90" s="16" t="s">
        <v>47</v>
      </c>
      <c r="C90" s="48">
        <v>648763948</v>
      </c>
      <c r="D90" s="48" t="s">
        <v>193</v>
      </c>
      <c r="E90" s="28">
        <v>1</v>
      </c>
      <c r="F90" s="49">
        <v>0</v>
      </c>
      <c r="G90" s="49">
        <v>0</v>
      </c>
      <c r="H90" s="49">
        <v>1</v>
      </c>
      <c r="I90" s="49">
        <v>0</v>
      </c>
      <c r="J90" s="49">
        <v>0</v>
      </c>
      <c r="K90" s="25">
        <v>5</v>
      </c>
      <c r="L90" s="24">
        <v>15</v>
      </c>
    </row>
    <row r="91" spans="1:12" x14ac:dyDescent="0.25">
      <c r="A91" s="11" t="s">
        <v>88</v>
      </c>
      <c r="B91" s="16" t="s">
        <v>47</v>
      </c>
      <c r="C91" s="48">
        <v>689818698</v>
      </c>
      <c r="D91" s="48" t="s">
        <v>194</v>
      </c>
      <c r="E91" s="28">
        <v>7</v>
      </c>
      <c r="F91" s="49">
        <v>0</v>
      </c>
      <c r="G91" s="49">
        <v>7</v>
      </c>
      <c r="H91" s="49">
        <v>0</v>
      </c>
      <c r="I91" s="49">
        <v>0</v>
      </c>
      <c r="J91" s="49">
        <v>0</v>
      </c>
      <c r="K91" s="25">
        <v>7</v>
      </c>
      <c r="L91" s="24">
        <v>35</v>
      </c>
    </row>
    <row r="92" spans="1:12" x14ac:dyDescent="0.25">
      <c r="A92" s="11" t="s">
        <v>88</v>
      </c>
      <c r="B92" s="16" t="s">
        <v>109</v>
      </c>
      <c r="C92" s="48">
        <v>1698596813</v>
      </c>
      <c r="D92" s="48" t="s">
        <v>130</v>
      </c>
      <c r="E92" s="28">
        <v>31</v>
      </c>
      <c r="F92" s="49">
        <v>0</v>
      </c>
      <c r="G92" s="49">
        <v>30</v>
      </c>
      <c r="H92" s="49">
        <v>1</v>
      </c>
      <c r="I92" s="49">
        <v>0</v>
      </c>
      <c r="J92" s="49">
        <v>0</v>
      </c>
      <c r="K92" s="25">
        <v>35</v>
      </c>
      <c r="L92" s="24">
        <v>165</v>
      </c>
    </row>
    <row r="93" spans="1:12" x14ac:dyDescent="0.25">
      <c r="A93" s="11" t="s">
        <v>88</v>
      </c>
      <c r="B93" s="16" t="s">
        <v>109</v>
      </c>
      <c r="C93" s="48">
        <v>735092980</v>
      </c>
      <c r="D93" s="48" t="s">
        <v>120</v>
      </c>
      <c r="E93" s="28">
        <v>7</v>
      </c>
      <c r="F93" s="49">
        <v>0</v>
      </c>
      <c r="G93" s="49">
        <v>0</v>
      </c>
      <c r="H93" s="49">
        <v>7</v>
      </c>
      <c r="I93" s="49">
        <v>0</v>
      </c>
      <c r="J93" s="49">
        <v>0</v>
      </c>
      <c r="K93" s="25">
        <v>35</v>
      </c>
      <c r="L93" s="24">
        <v>105</v>
      </c>
    </row>
    <row r="94" spans="1:12" x14ac:dyDescent="0.25">
      <c r="A94" s="11" t="s">
        <v>88</v>
      </c>
      <c r="B94" s="16" t="s">
        <v>47</v>
      </c>
      <c r="C94" s="48">
        <v>319651861</v>
      </c>
      <c r="D94" s="48" t="s">
        <v>195</v>
      </c>
      <c r="E94" s="28">
        <v>6</v>
      </c>
      <c r="F94" s="49">
        <v>0</v>
      </c>
      <c r="G94" s="49">
        <v>6</v>
      </c>
      <c r="H94" s="49">
        <v>0</v>
      </c>
      <c r="I94" s="49">
        <v>0</v>
      </c>
      <c r="J94" s="49">
        <v>0</v>
      </c>
      <c r="K94" s="25">
        <v>6</v>
      </c>
      <c r="L94" s="24">
        <v>30</v>
      </c>
    </row>
    <row r="95" spans="1:12" x14ac:dyDescent="0.25">
      <c r="A95" s="11" t="s">
        <v>88</v>
      </c>
      <c r="B95" s="16" t="s">
        <v>47</v>
      </c>
      <c r="C95" s="48">
        <v>582104628</v>
      </c>
      <c r="D95" s="48" t="s">
        <v>196</v>
      </c>
      <c r="E95" s="28">
        <v>6</v>
      </c>
      <c r="F95" s="49">
        <v>0</v>
      </c>
      <c r="G95" s="49">
        <v>6</v>
      </c>
      <c r="H95" s="49">
        <v>0</v>
      </c>
      <c r="I95" s="49">
        <v>0</v>
      </c>
      <c r="J95" s="49">
        <v>0</v>
      </c>
      <c r="K95" s="25">
        <v>6</v>
      </c>
      <c r="L95" s="24">
        <v>30</v>
      </c>
    </row>
    <row r="96" spans="1:12" x14ac:dyDescent="0.25">
      <c r="A96" s="11" t="s">
        <v>88</v>
      </c>
      <c r="B96" s="16" t="s">
        <v>109</v>
      </c>
      <c r="C96" s="48">
        <v>927459756</v>
      </c>
      <c r="D96" s="48" t="s">
        <v>86</v>
      </c>
      <c r="E96" s="28">
        <v>11</v>
      </c>
      <c r="F96" s="49">
        <v>0</v>
      </c>
      <c r="G96" s="49">
        <v>6</v>
      </c>
      <c r="H96" s="49">
        <v>4</v>
      </c>
      <c r="I96" s="49">
        <v>1</v>
      </c>
      <c r="J96" s="49">
        <v>0</v>
      </c>
      <c r="K96" s="25">
        <v>35</v>
      </c>
      <c r="L96" s="24">
        <v>120</v>
      </c>
    </row>
    <row r="97" spans="1:12" x14ac:dyDescent="0.25">
      <c r="A97" s="11" t="s">
        <v>110</v>
      </c>
      <c r="B97" s="16" t="s">
        <v>109</v>
      </c>
      <c r="C97" s="48">
        <v>1835847308</v>
      </c>
      <c r="D97" s="48" t="s">
        <v>173</v>
      </c>
      <c r="E97" s="28">
        <v>41</v>
      </c>
      <c r="F97" s="49">
        <v>41</v>
      </c>
      <c r="G97" s="49">
        <v>0</v>
      </c>
      <c r="H97" s="49">
        <v>0</v>
      </c>
      <c r="I97" s="49">
        <v>0</v>
      </c>
      <c r="J97" s="49">
        <v>0</v>
      </c>
      <c r="K97" s="25">
        <v>0</v>
      </c>
      <c r="L97" s="24">
        <v>41</v>
      </c>
    </row>
    <row r="98" spans="1:12" x14ac:dyDescent="0.25">
      <c r="A98" s="11" t="s">
        <v>88</v>
      </c>
      <c r="B98" s="16" t="s">
        <v>109</v>
      </c>
      <c r="C98" s="48">
        <v>1806182451</v>
      </c>
      <c r="D98" s="48" t="s">
        <v>40</v>
      </c>
      <c r="E98" s="28">
        <v>33</v>
      </c>
      <c r="F98" s="49">
        <v>0</v>
      </c>
      <c r="G98" s="49">
        <v>31</v>
      </c>
      <c r="H98" s="49">
        <v>1</v>
      </c>
      <c r="I98" s="49">
        <v>1</v>
      </c>
      <c r="J98" s="49">
        <v>0</v>
      </c>
      <c r="K98" s="25">
        <v>45</v>
      </c>
      <c r="L98" s="24">
        <v>200</v>
      </c>
    </row>
    <row r="99" spans="1:12" x14ac:dyDescent="0.25">
      <c r="A99" s="11" t="s">
        <v>110</v>
      </c>
      <c r="B99" s="16" t="s">
        <v>47</v>
      </c>
      <c r="C99" s="48">
        <v>1940642101</v>
      </c>
      <c r="D99" s="48" t="s">
        <v>106</v>
      </c>
      <c r="E99" s="28">
        <v>0</v>
      </c>
      <c r="F99" s="49">
        <v>0</v>
      </c>
      <c r="G99" s="49">
        <v>0</v>
      </c>
      <c r="H99" s="49">
        <v>0</v>
      </c>
      <c r="I99" s="49">
        <v>0</v>
      </c>
      <c r="J99" s="49">
        <v>0</v>
      </c>
      <c r="K99" s="25">
        <v>0</v>
      </c>
      <c r="L99" s="24">
        <v>0</v>
      </c>
    </row>
    <row r="100" spans="1:12" x14ac:dyDescent="0.25">
      <c r="A100" s="11" t="s">
        <v>88</v>
      </c>
      <c r="B100" s="16" t="s">
        <v>47</v>
      </c>
      <c r="C100" s="48">
        <v>1401689756</v>
      </c>
      <c r="D100" s="48" t="s">
        <v>197</v>
      </c>
      <c r="E100" s="28">
        <v>3</v>
      </c>
      <c r="F100" s="49">
        <v>0</v>
      </c>
      <c r="G100" s="49">
        <v>3</v>
      </c>
      <c r="H100" s="49">
        <v>0</v>
      </c>
      <c r="I100" s="49">
        <v>0</v>
      </c>
      <c r="J100" s="49">
        <v>0</v>
      </c>
      <c r="K100" s="25">
        <v>3</v>
      </c>
      <c r="L100" s="24">
        <v>15</v>
      </c>
    </row>
    <row r="101" spans="1:12" x14ac:dyDescent="0.25">
      <c r="A101" s="11" t="s">
        <v>110</v>
      </c>
      <c r="B101" s="16" t="s">
        <v>47</v>
      </c>
      <c r="C101" s="48">
        <v>677690297</v>
      </c>
      <c r="D101" s="48" t="s">
        <v>17</v>
      </c>
      <c r="E101" s="28">
        <v>0</v>
      </c>
      <c r="F101" s="49">
        <v>0</v>
      </c>
      <c r="G101" s="49">
        <v>0</v>
      </c>
      <c r="H101" s="49">
        <v>0</v>
      </c>
      <c r="I101" s="49">
        <v>0</v>
      </c>
      <c r="J101" s="49">
        <v>0</v>
      </c>
      <c r="K101" s="25">
        <v>0</v>
      </c>
      <c r="L101" s="24">
        <v>0</v>
      </c>
    </row>
    <row r="102" spans="1:12" x14ac:dyDescent="0.25">
      <c r="A102" s="11" t="s">
        <v>88</v>
      </c>
      <c r="B102" s="16" t="s">
        <v>109</v>
      </c>
      <c r="C102" s="48">
        <v>969689378</v>
      </c>
      <c r="D102" s="48" t="s">
        <v>179</v>
      </c>
      <c r="E102" s="28">
        <v>36</v>
      </c>
      <c r="F102" s="49">
        <v>0</v>
      </c>
      <c r="G102" s="49">
        <v>32</v>
      </c>
      <c r="H102" s="49">
        <v>4</v>
      </c>
      <c r="I102" s="49">
        <v>0</v>
      </c>
      <c r="J102" s="49">
        <v>0</v>
      </c>
      <c r="K102" s="25">
        <v>52</v>
      </c>
      <c r="L102" s="24">
        <v>220</v>
      </c>
    </row>
    <row r="103" spans="1:12" x14ac:dyDescent="0.25">
      <c r="A103" s="11" t="s">
        <v>88</v>
      </c>
      <c r="B103" s="16" t="s">
        <v>47</v>
      </c>
      <c r="C103" s="48">
        <v>1693317344</v>
      </c>
      <c r="D103" s="48" t="s">
        <v>155</v>
      </c>
      <c r="E103" s="28">
        <v>6</v>
      </c>
      <c r="F103" s="49">
        <v>0</v>
      </c>
      <c r="G103" s="49">
        <v>6</v>
      </c>
      <c r="H103" s="49">
        <v>0</v>
      </c>
      <c r="I103" s="49">
        <v>0</v>
      </c>
      <c r="J103" s="49">
        <v>0</v>
      </c>
      <c r="K103" s="25">
        <v>6</v>
      </c>
      <c r="L103" s="24">
        <v>30</v>
      </c>
    </row>
    <row r="104" spans="1:12" x14ac:dyDescent="0.25">
      <c r="A104" s="11" t="s">
        <v>88</v>
      </c>
      <c r="B104" s="16" t="s">
        <v>47</v>
      </c>
      <c r="C104" s="48">
        <v>1268693750</v>
      </c>
      <c r="D104" s="48" t="s">
        <v>157</v>
      </c>
      <c r="E104" s="28">
        <v>19</v>
      </c>
      <c r="F104" s="49">
        <v>0</v>
      </c>
      <c r="G104" s="49">
        <v>18</v>
      </c>
      <c r="H104" s="49">
        <v>1</v>
      </c>
      <c r="I104" s="49">
        <v>0</v>
      </c>
      <c r="J104" s="49">
        <v>0</v>
      </c>
      <c r="K104" s="25">
        <v>23</v>
      </c>
      <c r="L104" s="24">
        <v>105</v>
      </c>
    </row>
    <row r="105" spans="1:12" x14ac:dyDescent="0.25">
      <c r="A105" s="11" t="s">
        <v>88</v>
      </c>
      <c r="B105" s="16" t="s">
        <v>109</v>
      </c>
      <c r="C105" s="48">
        <v>527890484</v>
      </c>
      <c r="D105" s="48" t="s">
        <v>118</v>
      </c>
      <c r="E105" s="28">
        <v>37</v>
      </c>
      <c r="F105" s="49">
        <v>0</v>
      </c>
      <c r="G105" s="49">
        <v>31</v>
      </c>
      <c r="H105" s="49">
        <v>6</v>
      </c>
      <c r="I105" s="49">
        <v>0</v>
      </c>
      <c r="J105" s="49">
        <v>0</v>
      </c>
      <c r="K105" s="25">
        <v>61</v>
      </c>
      <c r="L105" s="24">
        <v>245</v>
      </c>
    </row>
    <row r="106" spans="1:12" x14ac:dyDescent="0.25">
      <c r="A106" s="11" t="s">
        <v>88</v>
      </c>
      <c r="B106" s="16" t="s">
        <v>47</v>
      </c>
      <c r="C106" s="48">
        <v>0</v>
      </c>
      <c r="D106" s="48" t="s">
        <v>116</v>
      </c>
      <c r="E106" s="28">
        <v>0</v>
      </c>
      <c r="F106" s="49">
        <v>0</v>
      </c>
      <c r="G106" s="49">
        <v>0</v>
      </c>
      <c r="H106" s="49">
        <v>0</v>
      </c>
      <c r="I106" s="49">
        <v>0</v>
      </c>
      <c r="J106" s="49">
        <v>0</v>
      </c>
      <c r="K106" s="25">
        <v>0</v>
      </c>
      <c r="L106" s="24">
        <v>0</v>
      </c>
    </row>
    <row r="107" spans="1:12" x14ac:dyDescent="0.25">
      <c r="A107" s="11" t="s">
        <v>88</v>
      </c>
      <c r="B107" s="16" t="s">
        <v>47</v>
      </c>
      <c r="C107" s="48">
        <v>597879167</v>
      </c>
      <c r="D107" s="48" t="s">
        <v>127</v>
      </c>
      <c r="E107" s="28">
        <v>1</v>
      </c>
      <c r="F107" s="49">
        <v>0</v>
      </c>
      <c r="G107" s="49">
        <v>0</v>
      </c>
      <c r="H107" s="49">
        <v>1</v>
      </c>
      <c r="I107" s="49">
        <v>0</v>
      </c>
      <c r="J107" s="49">
        <v>0</v>
      </c>
      <c r="K107" s="25">
        <v>5</v>
      </c>
      <c r="L107" s="24">
        <v>15</v>
      </c>
    </row>
    <row r="108" spans="1:12" x14ac:dyDescent="0.25">
      <c r="A108" s="11" t="s">
        <v>88</v>
      </c>
      <c r="B108" s="16" t="s">
        <v>47</v>
      </c>
      <c r="C108" s="48">
        <v>683679140</v>
      </c>
      <c r="D108" s="48" t="s">
        <v>137</v>
      </c>
      <c r="E108" s="28">
        <v>1</v>
      </c>
      <c r="F108" s="49">
        <v>0</v>
      </c>
      <c r="G108" s="49">
        <v>0</v>
      </c>
      <c r="H108" s="49">
        <v>1</v>
      </c>
      <c r="I108" s="49">
        <v>0</v>
      </c>
      <c r="J108" s="49">
        <v>0</v>
      </c>
      <c r="K108" s="25">
        <v>5</v>
      </c>
      <c r="L108" s="24">
        <v>15</v>
      </c>
    </row>
    <row r="109" spans="1:12" x14ac:dyDescent="0.25">
      <c r="A109" s="11" t="s">
        <v>88</v>
      </c>
      <c r="B109" s="16" t="s">
        <v>47</v>
      </c>
      <c r="C109" s="48">
        <v>440323888</v>
      </c>
      <c r="D109" s="48" t="s">
        <v>139</v>
      </c>
      <c r="E109" s="28">
        <v>2</v>
      </c>
      <c r="F109" s="49">
        <v>0</v>
      </c>
      <c r="G109" s="49">
        <v>1</v>
      </c>
      <c r="H109" s="49">
        <v>1</v>
      </c>
      <c r="I109" s="49">
        <v>0</v>
      </c>
      <c r="J109" s="49">
        <v>0</v>
      </c>
      <c r="K109" s="25">
        <v>6</v>
      </c>
      <c r="L109" s="24">
        <v>20</v>
      </c>
    </row>
    <row r="110" spans="1:12" x14ac:dyDescent="0.25">
      <c r="A110" s="11" t="s">
        <v>88</v>
      </c>
      <c r="B110" s="16" t="s">
        <v>47</v>
      </c>
      <c r="C110" s="48">
        <v>391188518</v>
      </c>
      <c r="D110" s="48" t="s">
        <v>147</v>
      </c>
      <c r="E110" s="28">
        <v>1</v>
      </c>
      <c r="F110" s="49">
        <v>0</v>
      </c>
      <c r="G110" s="49">
        <v>0</v>
      </c>
      <c r="H110" s="49">
        <v>1</v>
      </c>
      <c r="I110" s="49">
        <v>0</v>
      </c>
      <c r="J110" s="49">
        <v>0</v>
      </c>
      <c r="K110" s="25">
        <v>5</v>
      </c>
      <c r="L110" s="24">
        <v>15</v>
      </c>
    </row>
  </sheetData>
  <phoneticPr fontId="4" type="noConversion"/>
  <conditionalFormatting sqref="B111:B1048576">
    <cfRule type="cellIs" dxfId="196" priority="85" operator="equal">
      <formula>"Cumplio"</formula>
    </cfRule>
    <cfRule type="cellIs" dxfId="195" priority="86" operator="equal">
      <formula>"No Cumplio"</formula>
    </cfRule>
    <cfRule type="containsText" dxfId="194" priority="87" operator="containsText" text="Cumplio">
      <formula>NOT(ISERROR(SEARCH("Cumplio",B111)))</formula>
    </cfRule>
    <cfRule type="containsText" dxfId="193" priority="88" operator="containsText" text="No cumplio">
      <formula>NOT(ISERROR(SEARCH("No cumplio",B111)))</formula>
    </cfRule>
  </conditionalFormatting>
  <conditionalFormatting sqref="B2:C56 B57:B110">
    <cfRule type="beginsWith" dxfId="192" priority="1" operator="beginsWith" text="Cumplio">
      <formula>LEFT(B2,LEN("Cumplio"))="Cumplio"</formula>
    </cfRule>
    <cfRule type="containsText" dxfId="191" priority="2" operator="containsText" text="No cumplio">
      <formula>NOT(ISERROR(SEARCH("No cumplio",B2)))</formula>
    </cfRule>
  </conditionalFormatting>
  <conditionalFormatting sqref="C2:D110">
    <cfRule type="duplicateValues" dxfId="190" priority="3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21582-C0A2-46D3-A0AA-00689F5F5794}">
  <dimension ref="A1:E125"/>
  <sheetViews>
    <sheetView workbookViewId="0">
      <selection activeCell="E2" sqref="E2"/>
    </sheetView>
  </sheetViews>
  <sheetFormatPr baseColWidth="10" defaultRowHeight="15" x14ac:dyDescent="0.25"/>
  <cols>
    <col min="1" max="1" width="4" bestFit="1" customWidth="1"/>
    <col min="2" max="2" width="15.42578125" bestFit="1" customWidth="1"/>
    <col min="3" max="3" width="13.5703125" customWidth="1"/>
    <col min="4" max="4" width="21.140625" bestFit="1" customWidth="1"/>
    <col min="5" max="5" width="23.140625" bestFit="1" customWidth="1"/>
  </cols>
  <sheetData>
    <row r="1" spans="1:5" x14ac:dyDescent="0.25">
      <c r="A1" s="4" t="s">
        <v>8</v>
      </c>
      <c r="B1" s="2" t="s">
        <v>0</v>
      </c>
      <c r="C1" s="3" t="s">
        <v>1</v>
      </c>
      <c r="D1" s="22" t="s">
        <v>15</v>
      </c>
      <c r="E1" s="21" t="s">
        <v>16</v>
      </c>
    </row>
    <row r="2" spans="1:5" x14ac:dyDescent="0.25">
      <c r="A2" s="12">
        <v>1</v>
      </c>
      <c r="B2" s="48" t="s">
        <v>6</v>
      </c>
      <c r="C2" s="28">
        <v>35</v>
      </c>
      <c r="D2" s="25">
        <v>71</v>
      </c>
      <c r="E2" s="13" t="s">
        <v>198</v>
      </c>
    </row>
    <row r="3" spans="1:5" x14ac:dyDescent="0.25">
      <c r="A3" s="12">
        <v>2</v>
      </c>
      <c r="B3" s="48" t="s">
        <v>168</v>
      </c>
      <c r="C3" s="28">
        <v>31</v>
      </c>
      <c r="D3" s="25">
        <v>35</v>
      </c>
    </row>
    <row r="4" spans="1:5" x14ac:dyDescent="0.25">
      <c r="A4" s="12">
        <v>3</v>
      </c>
      <c r="B4" s="48" t="s">
        <v>117</v>
      </c>
      <c r="C4" s="28">
        <v>16</v>
      </c>
      <c r="D4" s="25">
        <v>36</v>
      </c>
    </row>
    <row r="5" spans="1:5" x14ac:dyDescent="0.25">
      <c r="A5" s="12">
        <v>4</v>
      </c>
      <c r="B5" s="48" t="s">
        <v>187</v>
      </c>
      <c r="C5" s="28">
        <v>6</v>
      </c>
      <c r="D5" s="25">
        <v>22</v>
      </c>
    </row>
    <row r="6" spans="1:5" x14ac:dyDescent="0.25">
      <c r="A6" s="12">
        <v>5</v>
      </c>
      <c r="B6" s="48" t="s">
        <v>89</v>
      </c>
      <c r="C6" s="28">
        <v>28</v>
      </c>
      <c r="D6" s="25">
        <v>36</v>
      </c>
    </row>
    <row r="7" spans="1:5" x14ac:dyDescent="0.25">
      <c r="A7" s="12">
        <v>6</v>
      </c>
      <c r="B7" s="48" t="s">
        <v>71</v>
      </c>
      <c r="C7" s="28">
        <v>44</v>
      </c>
      <c r="D7" s="25">
        <v>48</v>
      </c>
    </row>
    <row r="8" spans="1:5" x14ac:dyDescent="0.25">
      <c r="A8" s="12">
        <v>7</v>
      </c>
      <c r="B8" s="48" t="s">
        <v>158</v>
      </c>
      <c r="C8" s="28">
        <v>35</v>
      </c>
      <c r="D8" s="25">
        <v>35</v>
      </c>
    </row>
    <row r="9" spans="1:5" x14ac:dyDescent="0.25">
      <c r="A9" s="12">
        <v>8</v>
      </c>
      <c r="B9" s="48" t="s">
        <v>72</v>
      </c>
      <c r="C9" s="28">
        <v>28</v>
      </c>
      <c r="D9" s="25">
        <v>68</v>
      </c>
    </row>
    <row r="10" spans="1:5" x14ac:dyDescent="0.25">
      <c r="A10" s="12">
        <v>9</v>
      </c>
      <c r="B10" s="48" t="s">
        <v>121</v>
      </c>
      <c r="C10" s="28">
        <v>13</v>
      </c>
      <c r="D10" s="25">
        <v>53</v>
      </c>
    </row>
    <row r="11" spans="1:5" x14ac:dyDescent="0.25">
      <c r="A11" s="12">
        <v>10</v>
      </c>
      <c r="B11" s="48" t="s">
        <v>101</v>
      </c>
      <c r="C11" s="28">
        <v>18</v>
      </c>
      <c r="D11" s="25">
        <v>38</v>
      </c>
    </row>
    <row r="12" spans="1:5" x14ac:dyDescent="0.25">
      <c r="A12" s="12">
        <v>11</v>
      </c>
      <c r="B12" s="48" t="s">
        <v>122</v>
      </c>
      <c r="C12" s="28">
        <v>18</v>
      </c>
      <c r="D12" s="25">
        <v>58</v>
      </c>
    </row>
    <row r="13" spans="1:5" x14ac:dyDescent="0.25">
      <c r="A13" s="12">
        <v>12</v>
      </c>
      <c r="B13" s="48" t="s">
        <v>104</v>
      </c>
      <c r="C13" s="28">
        <v>16</v>
      </c>
      <c r="D13" s="25">
        <v>5</v>
      </c>
    </row>
    <row r="14" spans="1:5" x14ac:dyDescent="0.25">
      <c r="A14" s="12">
        <v>13</v>
      </c>
      <c r="B14" s="48" t="s">
        <v>34</v>
      </c>
      <c r="C14" s="28">
        <v>8</v>
      </c>
      <c r="D14" s="25">
        <v>8</v>
      </c>
    </row>
    <row r="15" spans="1:5" x14ac:dyDescent="0.25">
      <c r="A15" s="12">
        <v>14</v>
      </c>
      <c r="B15" s="48" t="s">
        <v>80</v>
      </c>
      <c r="C15" s="28">
        <v>12</v>
      </c>
      <c r="D15" s="25">
        <v>52</v>
      </c>
    </row>
    <row r="16" spans="1:5" x14ac:dyDescent="0.25">
      <c r="A16" s="12">
        <v>15</v>
      </c>
      <c r="B16" s="48" t="s">
        <v>124</v>
      </c>
      <c r="C16" s="28">
        <v>9</v>
      </c>
      <c r="D16" s="25">
        <v>45</v>
      </c>
    </row>
    <row r="17" spans="1:4" x14ac:dyDescent="0.25">
      <c r="A17" s="12">
        <v>16</v>
      </c>
      <c r="B17" s="48" t="s">
        <v>64</v>
      </c>
      <c r="C17" s="28">
        <v>13</v>
      </c>
      <c r="D17" s="25">
        <v>6</v>
      </c>
    </row>
    <row r="18" spans="1:4" x14ac:dyDescent="0.25">
      <c r="A18" s="12">
        <v>17</v>
      </c>
      <c r="B18" s="48" t="s">
        <v>180</v>
      </c>
      <c r="C18" s="28">
        <v>34</v>
      </c>
      <c r="D18" s="25">
        <v>38</v>
      </c>
    </row>
    <row r="19" spans="1:4" x14ac:dyDescent="0.25">
      <c r="A19" s="12">
        <v>18</v>
      </c>
      <c r="B19" s="48" t="s">
        <v>102</v>
      </c>
      <c r="C19" s="28">
        <v>32</v>
      </c>
      <c r="D19" s="25">
        <v>36</v>
      </c>
    </row>
    <row r="20" spans="1:4" x14ac:dyDescent="0.25">
      <c r="A20" s="12">
        <v>19</v>
      </c>
      <c r="B20" s="48" t="s">
        <v>126</v>
      </c>
      <c r="C20" s="28">
        <v>40</v>
      </c>
      <c r="D20" s="25">
        <v>68</v>
      </c>
    </row>
    <row r="21" spans="1:4" x14ac:dyDescent="0.25">
      <c r="A21" s="12">
        <v>20</v>
      </c>
      <c r="B21" s="48" t="s">
        <v>164</v>
      </c>
      <c r="C21" s="28">
        <v>0</v>
      </c>
      <c r="D21" s="25">
        <v>0</v>
      </c>
    </row>
    <row r="22" spans="1:4" x14ac:dyDescent="0.25">
      <c r="A22" s="12">
        <v>21</v>
      </c>
      <c r="B22" s="48" t="s">
        <v>29</v>
      </c>
      <c r="C22" s="28">
        <v>23</v>
      </c>
      <c r="D22" s="25">
        <v>39</v>
      </c>
    </row>
    <row r="23" spans="1:4" x14ac:dyDescent="0.25">
      <c r="A23" s="12">
        <v>22</v>
      </c>
      <c r="B23" s="48" t="s">
        <v>24</v>
      </c>
      <c r="C23" s="28">
        <v>12</v>
      </c>
      <c r="D23" s="25">
        <v>36</v>
      </c>
    </row>
    <row r="24" spans="1:4" x14ac:dyDescent="0.25">
      <c r="A24" s="12">
        <v>23</v>
      </c>
      <c r="B24" s="48" t="s">
        <v>25</v>
      </c>
      <c r="C24" s="28">
        <v>11</v>
      </c>
      <c r="D24" s="25">
        <v>35</v>
      </c>
    </row>
    <row r="25" spans="1:4" x14ac:dyDescent="0.25">
      <c r="A25" s="12">
        <v>24</v>
      </c>
      <c r="B25" s="48" t="s">
        <v>26</v>
      </c>
      <c r="C25" s="28">
        <v>35</v>
      </c>
      <c r="D25" s="25">
        <v>35</v>
      </c>
    </row>
    <row r="26" spans="1:4" x14ac:dyDescent="0.25">
      <c r="A26" s="12">
        <v>25</v>
      </c>
      <c r="B26" s="48" t="s">
        <v>46</v>
      </c>
      <c r="C26" s="28">
        <v>14</v>
      </c>
      <c r="D26" s="25">
        <v>7</v>
      </c>
    </row>
    <row r="27" spans="1:4" x14ac:dyDescent="0.25">
      <c r="A27" s="12">
        <v>26</v>
      </c>
      <c r="B27" s="48" t="s">
        <v>169</v>
      </c>
      <c r="C27" s="28">
        <v>12</v>
      </c>
      <c r="D27" s="25">
        <v>36</v>
      </c>
    </row>
    <row r="28" spans="1:4" x14ac:dyDescent="0.25">
      <c r="A28" s="12">
        <v>27</v>
      </c>
      <c r="B28" s="48" t="s">
        <v>171</v>
      </c>
      <c r="C28" s="28">
        <v>4</v>
      </c>
      <c r="D28" s="25">
        <v>12</v>
      </c>
    </row>
    <row r="29" spans="1:4" x14ac:dyDescent="0.25">
      <c r="A29" s="12">
        <v>28</v>
      </c>
      <c r="B29" s="48" t="s">
        <v>27</v>
      </c>
      <c r="C29" s="28">
        <v>26</v>
      </c>
      <c r="D29" s="25">
        <v>42</v>
      </c>
    </row>
    <row r="30" spans="1:4" x14ac:dyDescent="0.25">
      <c r="A30" s="12">
        <v>29</v>
      </c>
      <c r="B30" s="48" t="s">
        <v>128</v>
      </c>
      <c r="C30" s="28">
        <v>24</v>
      </c>
      <c r="D30" s="25">
        <v>36</v>
      </c>
    </row>
    <row r="31" spans="1:4" x14ac:dyDescent="0.25">
      <c r="A31" s="12">
        <v>30</v>
      </c>
      <c r="B31" s="48" t="s">
        <v>112</v>
      </c>
      <c r="C31" s="28">
        <v>35</v>
      </c>
      <c r="D31" s="25">
        <v>35</v>
      </c>
    </row>
    <row r="32" spans="1:4" x14ac:dyDescent="0.25">
      <c r="A32" s="12">
        <v>31</v>
      </c>
      <c r="B32" s="48" t="s">
        <v>188</v>
      </c>
      <c r="C32" s="28">
        <v>39</v>
      </c>
      <c r="D32" s="25">
        <v>55</v>
      </c>
    </row>
    <row r="33" spans="1:4" x14ac:dyDescent="0.25">
      <c r="A33" s="12">
        <v>32</v>
      </c>
      <c r="B33" s="48" t="s">
        <v>176</v>
      </c>
      <c r="C33" s="28">
        <v>24</v>
      </c>
      <c r="D33" s="25">
        <v>40</v>
      </c>
    </row>
    <row r="34" spans="1:4" x14ac:dyDescent="0.25">
      <c r="A34" s="12">
        <v>33</v>
      </c>
      <c r="B34" s="48" t="s">
        <v>181</v>
      </c>
      <c r="C34" s="28">
        <v>20</v>
      </c>
      <c r="D34" s="25">
        <v>35</v>
      </c>
    </row>
    <row r="35" spans="1:4" x14ac:dyDescent="0.25">
      <c r="A35" s="12">
        <v>34</v>
      </c>
      <c r="B35" s="48" t="s">
        <v>129</v>
      </c>
      <c r="C35" s="28">
        <v>1</v>
      </c>
      <c r="D35" s="25">
        <v>5</v>
      </c>
    </row>
    <row r="36" spans="1:4" ht="14.25" customHeight="1" x14ac:dyDescent="0.25">
      <c r="A36" s="12">
        <v>35</v>
      </c>
      <c r="B36" s="48" t="s">
        <v>131</v>
      </c>
      <c r="C36" s="28">
        <v>29</v>
      </c>
      <c r="D36" s="25">
        <v>63</v>
      </c>
    </row>
    <row r="37" spans="1:4" x14ac:dyDescent="0.25">
      <c r="A37" s="12">
        <v>36</v>
      </c>
      <c r="B37" s="48" t="s">
        <v>132</v>
      </c>
      <c r="C37" s="28">
        <v>20</v>
      </c>
      <c r="D37" s="25">
        <v>72</v>
      </c>
    </row>
    <row r="38" spans="1:4" x14ac:dyDescent="0.25">
      <c r="A38" s="12">
        <v>37</v>
      </c>
      <c r="B38" s="48" t="s">
        <v>161</v>
      </c>
      <c r="C38" s="28">
        <v>36</v>
      </c>
      <c r="D38" s="25">
        <v>35</v>
      </c>
    </row>
    <row r="39" spans="1:4" x14ac:dyDescent="0.25">
      <c r="A39" s="12">
        <v>38</v>
      </c>
      <c r="B39" s="48" t="s">
        <v>133</v>
      </c>
      <c r="C39" s="28">
        <v>23</v>
      </c>
      <c r="D39" s="25">
        <v>75</v>
      </c>
    </row>
    <row r="40" spans="1:4" x14ac:dyDescent="0.25">
      <c r="A40" s="12">
        <v>39</v>
      </c>
      <c r="B40" s="48" t="s">
        <v>135</v>
      </c>
      <c r="C40" s="28">
        <v>7</v>
      </c>
      <c r="D40" s="25">
        <v>35</v>
      </c>
    </row>
    <row r="41" spans="1:4" x14ac:dyDescent="0.25">
      <c r="A41" s="12">
        <v>40</v>
      </c>
      <c r="B41" s="48" t="s">
        <v>73</v>
      </c>
      <c r="C41" s="28">
        <v>17</v>
      </c>
      <c r="D41" s="25">
        <v>101</v>
      </c>
    </row>
    <row r="42" spans="1:4" x14ac:dyDescent="0.25">
      <c r="A42" s="12">
        <v>41</v>
      </c>
      <c r="B42" s="48" t="s">
        <v>174</v>
      </c>
      <c r="C42" s="28">
        <v>29</v>
      </c>
      <c r="D42" s="25">
        <v>49</v>
      </c>
    </row>
    <row r="43" spans="1:4" x14ac:dyDescent="0.25">
      <c r="A43" s="12">
        <v>42</v>
      </c>
      <c r="B43" s="48" t="s">
        <v>138</v>
      </c>
      <c r="C43" s="28">
        <v>32</v>
      </c>
      <c r="D43" s="25">
        <v>69</v>
      </c>
    </row>
    <row r="44" spans="1:4" x14ac:dyDescent="0.25">
      <c r="A44" s="12">
        <v>43</v>
      </c>
      <c r="B44" s="48" t="s">
        <v>152</v>
      </c>
      <c r="C44" s="28">
        <v>15</v>
      </c>
      <c r="D44" s="25">
        <v>27</v>
      </c>
    </row>
    <row r="45" spans="1:4" x14ac:dyDescent="0.25">
      <c r="A45" s="12">
        <v>44</v>
      </c>
      <c r="B45" s="48" t="s">
        <v>74</v>
      </c>
      <c r="C45" s="28">
        <v>7</v>
      </c>
      <c r="D45" s="25">
        <v>39</v>
      </c>
    </row>
    <row r="46" spans="1:4" x14ac:dyDescent="0.25">
      <c r="A46" s="12">
        <v>45</v>
      </c>
      <c r="B46" s="48" t="s">
        <v>42</v>
      </c>
      <c r="C46" s="28">
        <v>28</v>
      </c>
      <c r="D46" s="25">
        <v>36</v>
      </c>
    </row>
    <row r="47" spans="1:4" x14ac:dyDescent="0.25">
      <c r="A47" s="12">
        <v>46</v>
      </c>
      <c r="B47" s="48" t="s">
        <v>65</v>
      </c>
      <c r="C47" s="28">
        <v>19</v>
      </c>
      <c r="D47" s="25">
        <v>35</v>
      </c>
    </row>
    <row r="48" spans="1:4" x14ac:dyDescent="0.25">
      <c r="A48" s="12">
        <v>47</v>
      </c>
      <c r="B48" s="48" t="s">
        <v>93</v>
      </c>
      <c r="C48" s="28">
        <v>19</v>
      </c>
      <c r="D48" s="25">
        <v>35</v>
      </c>
    </row>
    <row r="49" spans="1:4" x14ac:dyDescent="0.25">
      <c r="A49" s="12">
        <v>48</v>
      </c>
      <c r="B49" s="48" t="s">
        <v>103</v>
      </c>
      <c r="C49" s="28">
        <v>20</v>
      </c>
      <c r="D49" s="25">
        <v>36</v>
      </c>
    </row>
    <row r="50" spans="1:4" x14ac:dyDescent="0.25">
      <c r="A50" s="12">
        <v>49</v>
      </c>
      <c r="B50" s="48" t="s">
        <v>123</v>
      </c>
      <c r="C50" s="28">
        <v>29</v>
      </c>
      <c r="D50" s="25">
        <v>85</v>
      </c>
    </row>
    <row r="51" spans="1:4" x14ac:dyDescent="0.25">
      <c r="A51" s="12">
        <v>50</v>
      </c>
      <c r="B51" s="48" t="s">
        <v>140</v>
      </c>
      <c r="C51" s="28">
        <v>21</v>
      </c>
      <c r="D51" s="25">
        <v>61</v>
      </c>
    </row>
    <row r="52" spans="1:4" x14ac:dyDescent="0.25">
      <c r="A52" s="12">
        <v>51</v>
      </c>
      <c r="B52" s="48" t="s">
        <v>78</v>
      </c>
      <c r="C52" s="28">
        <v>35</v>
      </c>
      <c r="D52" s="25">
        <v>35</v>
      </c>
    </row>
    <row r="53" spans="1:4" x14ac:dyDescent="0.25">
      <c r="A53" s="12">
        <v>52</v>
      </c>
      <c r="B53" s="48" t="s">
        <v>170</v>
      </c>
      <c r="C53" s="28">
        <v>19</v>
      </c>
      <c r="D53" s="25">
        <v>35</v>
      </c>
    </row>
    <row r="54" spans="1:4" x14ac:dyDescent="0.25">
      <c r="A54" s="12">
        <v>53</v>
      </c>
      <c r="B54" s="48" t="s">
        <v>30</v>
      </c>
      <c r="C54" s="28">
        <v>26</v>
      </c>
      <c r="D54" s="25">
        <v>42</v>
      </c>
    </row>
    <row r="55" spans="1:4" x14ac:dyDescent="0.25">
      <c r="A55" s="12">
        <v>54</v>
      </c>
      <c r="B55" s="48" t="s">
        <v>160</v>
      </c>
      <c r="C55" s="28">
        <v>19</v>
      </c>
      <c r="D55" s="25">
        <v>19</v>
      </c>
    </row>
    <row r="56" spans="1:4" x14ac:dyDescent="0.25">
      <c r="A56" s="12">
        <v>55</v>
      </c>
      <c r="B56" s="48" t="s">
        <v>189</v>
      </c>
      <c r="C56" s="28">
        <v>9</v>
      </c>
      <c r="D56" s="25">
        <v>9</v>
      </c>
    </row>
    <row r="57" spans="1:4" x14ac:dyDescent="0.25">
      <c r="A57" s="12">
        <v>56</v>
      </c>
      <c r="B57" s="48" t="s">
        <v>190</v>
      </c>
      <c r="C57" s="28">
        <v>4</v>
      </c>
      <c r="D57" s="25">
        <v>12</v>
      </c>
    </row>
    <row r="58" spans="1:4" x14ac:dyDescent="0.25">
      <c r="A58" s="12">
        <v>57</v>
      </c>
      <c r="B58" s="48" t="s">
        <v>28</v>
      </c>
      <c r="C58" s="28">
        <v>33</v>
      </c>
      <c r="D58" s="25">
        <v>45</v>
      </c>
    </row>
    <row r="59" spans="1:4" x14ac:dyDescent="0.25">
      <c r="A59" s="12">
        <v>58</v>
      </c>
      <c r="B59" s="48" t="s">
        <v>142</v>
      </c>
      <c r="C59" s="28">
        <v>10</v>
      </c>
      <c r="D59" s="25">
        <v>26</v>
      </c>
    </row>
    <row r="60" spans="1:4" x14ac:dyDescent="0.25">
      <c r="A60" s="12">
        <v>59</v>
      </c>
      <c r="B60" s="48" t="s">
        <v>143</v>
      </c>
      <c r="C60" s="28">
        <v>0</v>
      </c>
      <c r="D60" s="25">
        <v>0</v>
      </c>
    </row>
    <row r="61" spans="1:4" x14ac:dyDescent="0.25">
      <c r="A61" s="12">
        <v>60</v>
      </c>
      <c r="B61" s="48" t="s">
        <v>144</v>
      </c>
      <c r="C61" s="28">
        <v>33</v>
      </c>
      <c r="D61" s="25">
        <v>53</v>
      </c>
    </row>
    <row r="62" spans="1:4" x14ac:dyDescent="0.25">
      <c r="A62" s="12">
        <v>61</v>
      </c>
      <c r="B62" s="48" t="s">
        <v>100</v>
      </c>
      <c r="C62" s="28">
        <v>35</v>
      </c>
      <c r="D62" s="25">
        <v>35</v>
      </c>
    </row>
    <row r="63" spans="1:4" x14ac:dyDescent="0.25">
      <c r="A63" s="12">
        <v>62</v>
      </c>
      <c r="B63" s="48" t="s">
        <v>159</v>
      </c>
      <c r="C63" s="28">
        <v>4</v>
      </c>
      <c r="D63" s="25">
        <v>20</v>
      </c>
    </row>
    <row r="64" spans="1:4" x14ac:dyDescent="0.25">
      <c r="A64" s="12">
        <v>63</v>
      </c>
      <c r="B64" s="48" t="s">
        <v>145</v>
      </c>
      <c r="C64" s="28">
        <v>22</v>
      </c>
      <c r="D64" s="25">
        <v>34</v>
      </c>
    </row>
    <row r="65" spans="1:4" x14ac:dyDescent="0.25">
      <c r="A65" s="12">
        <v>64</v>
      </c>
      <c r="B65" s="48" t="s">
        <v>146</v>
      </c>
      <c r="C65" s="28">
        <v>8</v>
      </c>
      <c r="D65" s="25">
        <v>24</v>
      </c>
    </row>
    <row r="66" spans="1:4" x14ac:dyDescent="0.25">
      <c r="A66" s="12">
        <v>65</v>
      </c>
      <c r="B66" s="48" t="s">
        <v>172</v>
      </c>
      <c r="C66" s="28">
        <v>30</v>
      </c>
      <c r="D66" s="25">
        <v>46</v>
      </c>
    </row>
    <row r="67" spans="1:4" x14ac:dyDescent="0.25">
      <c r="A67" s="12">
        <v>66</v>
      </c>
      <c r="B67" s="48" t="s">
        <v>148</v>
      </c>
      <c r="C67" s="28">
        <v>36</v>
      </c>
      <c r="D67" s="25">
        <v>60</v>
      </c>
    </row>
    <row r="68" spans="1:4" x14ac:dyDescent="0.25">
      <c r="A68" s="12">
        <v>67</v>
      </c>
      <c r="B68" s="48" t="s">
        <v>149</v>
      </c>
      <c r="C68" s="28">
        <v>17</v>
      </c>
      <c r="D68" s="25">
        <v>49</v>
      </c>
    </row>
    <row r="69" spans="1:4" x14ac:dyDescent="0.25">
      <c r="A69" s="12">
        <v>68</v>
      </c>
      <c r="B69" s="48" t="s">
        <v>83</v>
      </c>
      <c r="C69" s="28">
        <v>35</v>
      </c>
      <c r="D69" s="25">
        <v>35</v>
      </c>
    </row>
    <row r="70" spans="1:4" x14ac:dyDescent="0.25">
      <c r="A70" s="12">
        <v>69</v>
      </c>
      <c r="B70" s="48" t="s">
        <v>84</v>
      </c>
      <c r="C70" s="28">
        <v>31</v>
      </c>
      <c r="D70" s="25">
        <v>35</v>
      </c>
    </row>
    <row r="71" spans="1:4" x14ac:dyDescent="0.25">
      <c r="A71" s="12">
        <v>70</v>
      </c>
      <c r="B71" s="48" t="s">
        <v>182</v>
      </c>
      <c r="C71" s="28">
        <v>28</v>
      </c>
      <c r="D71" s="25">
        <v>36</v>
      </c>
    </row>
    <row r="72" spans="1:4" x14ac:dyDescent="0.25">
      <c r="A72" s="12">
        <v>71</v>
      </c>
      <c r="B72" s="48" t="s">
        <v>183</v>
      </c>
      <c r="C72" s="28">
        <v>38</v>
      </c>
      <c r="D72" s="25">
        <v>58</v>
      </c>
    </row>
    <row r="73" spans="1:4" x14ac:dyDescent="0.25">
      <c r="A73" s="12">
        <v>72</v>
      </c>
      <c r="B73" s="48" t="s">
        <v>175</v>
      </c>
      <c r="C73" s="28">
        <v>16</v>
      </c>
      <c r="D73" s="25">
        <v>48</v>
      </c>
    </row>
    <row r="74" spans="1:4" x14ac:dyDescent="0.25">
      <c r="A74" s="12">
        <v>73</v>
      </c>
      <c r="B74" s="48" t="s">
        <v>150</v>
      </c>
      <c r="C74" s="28">
        <v>20</v>
      </c>
      <c r="D74" s="25">
        <v>60</v>
      </c>
    </row>
    <row r="75" spans="1:4" x14ac:dyDescent="0.25">
      <c r="A75" s="12">
        <v>74</v>
      </c>
      <c r="B75" s="48" t="s">
        <v>166</v>
      </c>
      <c r="C75" s="28">
        <v>21</v>
      </c>
      <c r="D75" s="25">
        <v>37</v>
      </c>
    </row>
    <row r="76" spans="1:4" x14ac:dyDescent="0.25">
      <c r="A76" s="12">
        <v>75</v>
      </c>
      <c r="B76" s="48" t="s">
        <v>125</v>
      </c>
      <c r="C76" s="28">
        <v>12</v>
      </c>
      <c r="D76" s="25">
        <v>72</v>
      </c>
    </row>
    <row r="77" spans="1:4" x14ac:dyDescent="0.25">
      <c r="A77" s="12">
        <v>76</v>
      </c>
      <c r="B77" s="48" t="s">
        <v>163</v>
      </c>
      <c r="C77" s="28">
        <v>10</v>
      </c>
      <c r="D77" s="25">
        <v>38</v>
      </c>
    </row>
    <row r="78" spans="1:4" x14ac:dyDescent="0.25">
      <c r="A78" s="12">
        <v>77</v>
      </c>
      <c r="B78" s="48" t="s">
        <v>162</v>
      </c>
      <c r="C78" s="28">
        <v>11</v>
      </c>
      <c r="D78" s="25">
        <v>39</v>
      </c>
    </row>
    <row r="79" spans="1:4" x14ac:dyDescent="0.25">
      <c r="A79" s="12">
        <v>78</v>
      </c>
      <c r="B79" s="48" t="s">
        <v>36</v>
      </c>
      <c r="C79" s="28">
        <v>30</v>
      </c>
      <c r="D79" s="25">
        <v>30</v>
      </c>
    </row>
    <row r="80" spans="1:4" x14ac:dyDescent="0.25">
      <c r="A80" s="12">
        <v>79</v>
      </c>
      <c r="B80" s="48" t="s">
        <v>38</v>
      </c>
      <c r="C80" s="28">
        <v>13</v>
      </c>
      <c r="D80" s="25">
        <v>45</v>
      </c>
    </row>
    <row r="81" spans="1:4" x14ac:dyDescent="0.25">
      <c r="A81" s="12">
        <v>80</v>
      </c>
      <c r="B81" s="48" t="s">
        <v>153</v>
      </c>
      <c r="C81" s="28">
        <v>36</v>
      </c>
      <c r="D81" s="25">
        <v>40</v>
      </c>
    </row>
    <row r="82" spans="1:4" x14ac:dyDescent="0.25">
      <c r="A82" s="12">
        <v>81</v>
      </c>
      <c r="B82" s="48" t="s">
        <v>113</v>
      </c>
      <c r="C82" s="28">
        <v>27</v>
      </c>
      <c r="D82" s="25">
        <v>35</v>
      </c>
    </row>
    <row r="83" spans="1:4" x14ac:dyDescent="0.25">
      <c r="A83" s="12">
        <v>82</v>
      </c>
      <c r="B83" s="48" t="s">
        <v>114</v>
      </c>
      <c r="C83" s="28">
        <v>20</v>
      </c>
      <c r="D83" s="25">
        <v>36</v>
      </c>
    </row>
    <row r="84" spans="1:4" x14ac:dyDescent="0.25">
      <c r="A84" s="12">
        <v>83</v>
      </c>
      <c r="B84" s="48" t="s">
        <v>154</v>
      </c>
      <c r="C84" s="28">
        <v>6</v>
      </c>
      <c r="D84" s="25">
        <v>30</v>
      </c>
    </row>
    <row r="85" spans="1:4" x14ac:dyDescent="0.25">
      <c r="A85" s="12">
        <v>84</v>
      </c>
      <c r="B85" s="48" t="s">
        <v>39</v>
      </c>
      <c r="C85" s="28">
        <v>35</v>
      </c>
      <c r="D85" s="25">
        <v>35</v>
      </c>
    </row>
    <row r="86" spans="1:4" x14ac:dyDescent="0.25">
      <c r="A86" s="12">
        <v>85</v>
      </c>
      <c r="B86" s="48" t="s">
        <v>191</v>
      </c>
      <c r="C86" s="28">
        <v>4</v>
      </c>
      <c r="D86" s="25">
        <v>16</v>
      </c>
    </row>
    <row r="87" spans="1:4" x14ac:dyDescent="0.25">
      <c r="A87" s="12">
        <v>86</v>
      </c>
      <c r="B87" s="48" t="s">
        <v>115</v>
      </c>
      <c r="C87" s="28">
        <v>5</v>
      </c>
      <c r="D87" s="25">
        <v>9</v>
      </c>
    </row>
    <row r="88" spans="1:4" x14ac:dyDescent="0.25">
      <c r="A88" s="12">
        <v>87</v>
      </c>
      <c r="B88" s="48" t="s">
        <v>43</v>
      </c>
      <c r="C88" s="28">
        <v>5</v>
      </c>
      <c r="D88" s="25">
        <v>5</v>
      </c>
    </row>
    <row r="89" spans="1:4" x14ac:dyDescent="0.25">
      <c r="A89" s="12">
        <v>88</v>
      </c>
      <c r="B89" s="48" t="s">
        <v>192</v>
      </c>
      <c r="C89" s="28">
        <v>0</v>
      </c>
      <c r="D89" s="25">
        <v>0</v>
      </c>
    </row>
    <row r="90" spans="1:4" x14ac:dyDescent="0.25">
      <c r="A90" s="12">
        <v>89</v>
      </c>
      <c r="B90" s="48" t="s">
        <v>193</v>
      </c>
      <c r="C90" s="28">
        <v>1</v>
      </c>
      <c r="D90" s="25">
        <v>5</v>
      </c>
    </row>
    <row r="91" spans="1:4" x14ac:dyDescent="0.25">
      <c r="A91" s="12">
        <v>90</v>
      </c>
      <c r="B91" s="48" t="s">
        <v>194</v>
      </c>
      <c r="C91" s="28">
        <v>7</v>
      </c>
      <c r="D91" s="25">
        <v>7</v>
      </c>
    </row>
    <row r="92" spans="1:4" x14ac:dyDescent="0.25">
      <c r="A92" s="12">
        <v>91</v>
      </c>
      <c r="B92" s="48" t="s">
        <v>130</v>
      </c>
      <c r="C92" s="28">
        <v>31</v>
      </c>
      <c r="D92" s="25">
        <v>35</v>
      </c>
    </row>
    <row r="93" spans="1:4" x14ac:dyDescent="0.25">
      <c r="A93" s="12">
        <v>92</v>
      </c>
      <c r="B93" s="48" t="s">
        <v>120</v>
      </c>
      <c r="C93" s="28">
        <v>7</v>
      </c>
      <c r="D93" s="25">
        <v>35</v>
      </c>
    </row>
    <row r="94" spans="1:4" x14ac:dyDescent="0.25">
      <c r="A94" s="12">
        <v>93</v>
      </c>
      <c r="B94" s="48" t="s">
        <v>195</v>
      </c>
      <c r="C94" s="28">
        <v>6</v>
      </c>
      <c r="D94" s="25">
        <v>6</v>
      </c>
    </row>
    <row r="95" spans="1:4" x14ac:dyDescent="0.25">
      <c r="A95" s="12">
        <v>94</v>
      </c>
      <c r="B95" s="48" t="s">
        <v>196</v>
      </c>
      <c r="C95" s="28">
        <v>6</v>
      </c>
      <c r="D95" s="25">
        <v>6</v>
      </c>
    </row>
    <row r="96" spans="1:4" x14ac:dyDescent="0.25">
      <c r="A96" s="12">
        <v>95</v>
      </c>
      <c r="B96" s="48" t="s">
        <v>86</v>
      </c>
      <c r="C96" s="28">
        <v>11</v>
      </c>
      <c r="D96" s="25">
        <v>35</v>
      </c>
    </row>
    <row r="97" spans="1:4" x14ac:dyDescent="0.25">
      <c r="A97" s="12">
        <v>96</v>
      </c>
      <c r="B97" s="48" t="s">
        <v>173</v>
      </c>
      <c r="C97" s="28">
        <v>41</v>
      </c>
      <c r="D97" s="25">
        <v>0</v>
      </c>
    </row>
    <row r="98" spans="1:4" x14ac:dyDescent="0.25">
      <c r="A98" s="12">
        <v>97</v>
      </c>
      <c r="B98" s="48" t="s">
        <v>40</v>
      </c>
      <c r="C98" s="28">
        <v>33</v>
      </c>
      <c r="D98" s="25">
        <v>45</v>
      </c>
    </row>
    <row r="99" spans="1:4" x14ac:dyDescent="0.25">
      <c r="A99" s="12">
        <v>98</v>
      </c>
      <c r="B99" s="48" t="s">
        <v>106</v>
      </c>
      <c r="C99" s="28">
        <v>0</v>
      </c>
      <c r="D99" s="25">
        <v>0</v>
      </c>
    </row>
    <row r="100" spans="1:4" x14ac:dyDescent="0.25">
      <c r="A100" s="12">
        <v>99</v>
      </c>
      <c r="B100" s="48" t="s">
        <v>197</v>
      </c>
      <c r="C100" s="28">
        <v>3</v>
      </c>
      <c r="D100" s="25">
        <v>3</v>
      </c>
    </row>
    <row r="101" spans="1:4" x14ac:dyDescent="0.25">
      <c r="A101" s="12">
        <v>100</v>
      </c>
      <c r="B101" s="48" t="s">
        <v>17</v>
      </c>
      <c r="C101" s="28">
        <v>0</v>
      </c>
      <c r="D101" s="25">
        <v>0</v>
      </c>
    </row>
    <row r="102" spans="1:4" x14ac:dyDescent="0.25">
      <c r="A102" s="12">
        <v>101</v>
      </c>
      <c r="B102" s="48" t="s">
        <v>179</v>
      </c>
      <c r="C102" s="28">
        <v>36</v>
      </c>
      <c r="D102" s="25">
        <v>52</v>
      </c>
    </row>
    <row r="103" spans="1:4" x14ac:dyDescent="0.25">
      <c r="A103" s="12">
        <v>102</v>
      </c>
      <c r="B103" s="48" t="s">
        <v>155</v>
      </c>
      <c r="C103" s="28">
        <v>6</v>
      </c>
      <c r="D103" s="25">
        <v>6</v>
      </c>
    </row>
    <row r="104" spans="1:4" x14ac:dyDescent="0.25">
      <c r="A104" s="12">
        <v>103</v>
      </c>
      <c r="B104" s="48" t="s">
        <v>157</v>
      </c>
      <c r="C104" s="28">
        <v>19</v>
      </c>
      <c r="D104" s="25">
        <v>23</v>
      </c>
    </row>
    <row r="105" spans="1:4" x14ac:dyDescent="0.25">
      <c r="A105" s="12">
        <v>104</v>
      </c>
      <c r="B105" s="48" t="s">
        <v>118</v>
      </c>
      <c r="C105" s="28">
        <v>37</v>
      </c>
      <c r="D105" s="25">
        <v>61</v>
      </c>
    </row>
    <row r="106" spans="1:4" x14ac:dyDescent="0.25">
      <c r="A106" s="12">
        <v>105</v>
      </c>
      <c r="B106" s="48" t="s">
        <v>116</v>
      </c>
      <c r="C106" s="28">
        <v>0</v>
      </c>
      <c r="D106" s="25">
        <v>0</v>
      </c>
    </row>
    <row r="107" spans="1:4" x14ac:dyDescent="0.25">
      <c r="A107" s="12">
        <v>106</v>
      </c>
      <c r="B107" s="48" t="s">
        <v>127</v>
      </c>
      <c r="C107" s="28">
        <v>1</v>
      </c>
      <c r="D107" s="25">
        <v>5</v>
      </c>
    </row>
    <row r="108" spans="1:4" x14ac:dyDescent="0.25">
      <c r="A108" s="12">
        <v>107</v>
      </c>
      <c r="B108" s="48" t="s">
        <v>137</v>
      </c>
      <c r="C108" s="28">
        <v>1</v>
      </c>
      <c r="D108" s="25">
        <v>5</v>
      </c>
    </row>
    <row r="109" spans="1:4" x14ac:dyDescent="0.25">
      <c r="A109" s="12">
        <v>108</v>
      </c>
      <c r="B109" s="48" t="s">
        <v>139</v>
      </c>
      <c r="C109" s="28">
        <v>2</v>
      </c>
      <c r="D109" s="25">
        <v>6</v>
      </c>
    </row>
    <row r="110" spans="1:4" x14ac:dyDescent="0.25">
      <c r="A110" s="12">
        <v>109</v>
      </c>
      <c r="B110" s="48" t="s">
        <v>147</v>
      </c>
      <c r="C110" s="28">
        <v>1</v>
      </c>
      <c r="D110" s="25">
        <v>5</v>
      </c>
    </row>
    <row r="111" spans="1:4" x14ac:dyDescent="0.25">
      <c r="A111" s="12">
        <v>110</v>
      </c>
      <c r="B111" s="9"/>
      <c r="C111" s="28"/>
      <c r="D111" s="25"/>
    </row>
    <row r="112" spans="1:4" x14ac:dyDescent="0.25">
      <c r="A112" s="12">
        <v>111</v>
      </c>
      <c r="B112" s="9"/>
      <c r="C112" s="28"/>
      <c r="D112" s="25"/>
    </row>
    <row r="113" spans="1:4" x14ac:dyDescent="0.25">
      <c r="A113" s="12">
        <v>112</v>
      </c>
      <c r="B113" s="9"/>
      <c r="C113" s="28"/>
      <c r="D113" s="25"/>
    </row>
    <row r="114" spans="1:4" x14ac:dyDescent="0.25">
      <c r="A114" s="12">
        <v>113</v>
      </c>
      <c r="B114" s="9"/>
      <c r="C114" s="28"/>
      <c r="D114" s="25"/>
    </row>
    <row r="115" spans="1:4" x14ac:dyDescent="0.25">
      <c r="A115" s="12">
        <v>114</v>
      </c>
      <c r="B115" s="9"/>
      <c r="C115" s="28"/>
      <c r="D115" s="25"/>
    </row>
    <row r="116" spans="1:4" x14ac:dyDescent="0.25">
      <c r="A116" s="12">
        <v>115</v>
      </c>
      <c r="B116" s="9"/>
      <c r="C116" s="28"/>
      <c r="D116" s="25"/>
    </row>
    <row r="117" spans="1:4" x14ac:dyDescent="0.25">
      <c r="A117" s="12">
        <v>116</v>
      </c>
      <c r="B117" s="9"/>
      <c r="C117" s="28"/>
      <c r="D117" s="25"/>
    </row>
    <row r="118" spans="1:4" x14ac:dyDescent="0.25">
      <c r="A118" s="12">
        <v>117</v>
      </c>
      <c r="B118" s="9"/>
      <c r="C118" s="28"/>
      <c r="D118" s="25"/>
    </row>
    <row r="119" spans="1:4" x14ac:dyDescent="0.25">
      <c r="A119" s="12">
        <v>118</v>
      </c>
      <c r="B119" s="9"/>
      <c r="C119" s="20"/>
      <c r="D119" s="25"/>
    </row>
    <row r="120" spans="1:4" x14ac:dyDescent="0.25">
      <c r="A120" s="12">
        <v>119</v>
      </c>
      <c r="B120" s="9"/>
      <c r="C120" s="20"/>
      <c r="D120" s="25"/>
    </row>
    <row r="121" spans="1:4" x14ac:dyDescent="0.25">
      <c r="A121" s="12">
        <v>120</v>
      </c>
      <c r="B121" s="9"/>
      <c r="C121" s="20"/>
      <c r="D121" s="25"/>
    </row>
    <row r="122" spans="1:4" x14ac:dyDescent="0.25">
      <c r="A122" s="12">
        <v>121</v>
      </c>
      <c r="B122" s="9"/>
      <c r="C122" s="20"/>
      <c r="D122" s="25"/>
    </row>
    <row r="123" spans="1:4" x14ac:dyDescent="0.25">
      <c r="A123" s="12">
        <v>122</v>
      </c>
      <c r="B123" s="9"/>
      <c r="C123" s="20"/>
      <c r="D123" s="25"/>
    </row>
    <row r="124" spans="1:4" x14ac:dyDescent="0.25">
      <c r="A124" s="12">
        <v>123</v>
      </c>
      <c r="B124" s="9"/>
      <c r="C124" s="20"/>
      <c r="D124" s="25"/>
    </row>
    <row r="125" spans="1:4" x14ac:dyDescent="0.25">
      <c r="A125" s="12">
        <v>124</v>
      </c>
      <c r="B125" s="9"/>
      <c r="C125" s="20"/>
      <c r="D125" s="25"/>
    </row>
  </sheetData>
  <autoFilter ref="B1:D1" xr:uid="{C3521582-C0A2-46D3-A0AA-00689F5F5794}">
    <sortState xmlns:xlrd2="http://schemas.microsoft.com/office/spreadsheetml/2017/richdata2" ref="B2:D125">
      <sortCondition descending="1" ref="D1"/>
    </sortState>
  </autoFilter>
  <conditionalFormatting sqref="B2:B110">
    <cfRule type="duplicateValues" dxfId="189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E31B-89C1-4409-9A86-5CBD30F5EBA1}">
  <dimension ref="A1:N113"/>
  <sheetViews>
    <sheetView zoomScaleNormal="100" workbookViewId="0">
      <selection activeCell="K8" sqref="K8"/>
    </sheetView>
  </sheetViews>
  <sheetFormatPr baseColWidth="10" defaultRowHeight="15" x14ac:dyDescent="0.25"/>
  <cols>
    <col min="1" max="1" width="11.7109375" bestFit="1" customWidth="1"/>
    <col min="2" max="2" width="11.140625" bestFit="1" customWidth="1"/>
    <col min="3" max="3" width="11" bestFit="1" customWidth="1"/>
    <col min="4" max="4" width="16.140625" bestFit="1" customWidth="1"/>
    <col min="5" max="5" width="13.42578125" style="26" customWidth="1"/>
    <col min="6" max="10" width="14.85546875" customWidth="1"/>
    <col min="11" max="12" width="16.5703125" bestFit="1" customWidth="1"/>
    <col min="13" max="13" width="23.140625" bestFit="1" customWidth="1"/>
  </cols>
  <sheetData>
    <row r="1" spans="1:14" x14ac:dyDescent="0.25">
      <c r="A1" s="2" t="s">
        <v>3</v>
      </c>
      <c r="B1" s="2" t="s">
        <v>2</v>
      </c>
      <c r="C1" s="2" t="s">
        <v>57</v>
      </c>
      <c r="D1" s="2" t="s">
        <v>0</v>
      </c>
      <c r="E1" s="3" t="s">
        <v>4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M1" s="13" t="s">
        <v>198</v>
      </c>
    </row>
    <row r="2" spans="1:14" ht="6.75" customHeight="1" x14ac:dyDescent="0.25"/>
    <row r="3" spans="1:14" x14ac:dyDescent="0.25">
      <c r="D3" s="1" t="s">
        <v>1</v>
      </c>
      <c r="E3" s="29">
        <f t="shared" ref="E3:J3" si="0">SUM(E5:E113)</f>
        <v>2059</v>
      </c>
      <c r="F3" s="29">
        <f t="shared" si="0"/>
        <v>74</v>
      </c>
      <c r="G3" s="29">
        <f t="shared" si="0"/>
        <v>1596</v>
      </c>
      <c r="H3" s="29">
        <f t="shared" si="0"/>
        <v>356</v>
      </c>
      <c r="I3" s="29">
        <f t="shared" si="0"/>
        <v>32</v>
      </c>
      <c r="J3" s="29">
        <f t="shared" si="0"/>
        <v>1</v>
      </c>
      <c r="K3" s="8"/>
      <c r="L3" s="8"/>
    </row>
    <row r="4" spans="1:14" x14ac:dyDescent="0.25">
      <c r="K4" s="6" t="s">
        <v>21</v>
      </c>
      <c r="L4" s="6" t="s">
        <v>22</v>
      </c>
      <c r="M4" s="5" t="s">
        <v>5</v>
      </c>
    </row>
    <row r="5" spans="1:14" x14ac:dyDescent="0.25">
      <c r="A5" s="11" t="str">
        <f>IF(ISERROR(VLOOKUP(C5,'Caza lvl 1'!A:A,1,0)),"5lvl2","5lvl1")</f>
        <v>5lvl2</v>
      </c>
      <c r="B5" s="16" t="str">
        <f>_xlfn.IFS(A5 = "5lvl2",IF(K5&gt;=35,"Cumplio", "No cumplio"),A5 = "5lvl1",IF(L5&gt;= 35,"Cumplio","No cumplio"))</f>
        <v>Cumplio</v>
      </c>
      <c r="C5" s="48">
        <v>1023770253</v>
      </c>
      <c r="D5" s="48" t="s">
        <v>73</v>
      </c>
      <c r="E5" s="28">
        <f>SUM(F5:J5)</f>
        <v>17</v>
      </c>
      <c r="F5" s="49">
        <v>0</v>
      </c>
      <c r="G5" s="49">
        <v>0</v>
      </c>
      <c r="H5" s="49">
        <v>13</v>
      </c>
      <c r="I5" s="49">
        <v>4</v>
      </c>
      <c r="J5" s="49">
        <v>0</v>
      </c>
      <c r="K5" s="25">
        <f>(H5*5)+(I5*9)+(J5*18)+G5</f>
        <v>101</v>
      </c>
      <c r="L5" s="24">
        <f>(G5*5)+(H5*15)+(I5*30)+(J5*70)+F5</f>
        <v>315</v>
      </c>
      <c r="M5" s="17" t="str" cm="1">
        <f t="array" ref="M5">_xlfn.IFS(A5="5lvl2",IF(K5&gt;=35,"No debe",35-K5), A5="5lvl1",IF(L5&gt;=35,"No debe",35-L5))</f>
        <v>No debe</v>
      </c>
      <c r="N5" s="8"/>
    </row>
    <row r="6" spans="1:14" x14ac:dyDescent="0.25">
      <c r="A6" s="11" t="str">
        <f>IF(ISERROR(VLOOKUP(C6,'Caza lvl 1'!A:A,1,0)),"5lvl2","5lvl1")</f>
        <v>5lvl2</v>
      </c>
      <c r="B6" s="16" t="str">
        <f>_xlfn.IFS(A6 = "5lvl2",IF(K6&gt;=35,"Cumplio", "No cumplio"),A6 = "5lvl1",IF(L6&gt;= 35,"Cumplio","No cumplio"))</f>
        <v>Cumplio</v>
      </c>
      <c r="C6" s="48">
        <v>500920417</v>
      </c>
      <c r="D6" s="48" t="s">
        <v>123</v>
      </c>
      <c r="E6" s="28">
        <f>SUM(F6:J6)</f>
        <v>29</v>
      </c>
      <c r="F6" s="49">
        <v>0</v>
      </c>
      <c r="G6" s="49">
        <v>15</v>
      </c>
      <c r="H6" s="49">
        <v>14</v>
      </c>
      <c r="I6" s="49">
        <v>0</v>
      </c>
      <c r="J6" s="49">
        <v>0</v>
      </c>
      <c r="K6" s="25">
        <f>(H6*5)+(I6*9)+(J6*18)+G6</f>
        <v>85</v>
      </c>
      <c r="L6" s="24">
        <f>(G6*5)+(H6*15)+(I6*30)+(J6*70)+F6</f>
        <v>285</v>
      </c>
      <c r="M6" s="17" t="str" cm="1">
        <f t="array" ref="M6">_xlfn.IFS(A6="5lvl2",IF(K6&gt;=35,"No debe",35-K6), A6="5lvl1",IF(L6&gt;=35,"No debe",35-L6))</f>
        <v>No debe</v>
      </c>
      <c r="N6" s="8"/>
    </row>
    <row r="7" spans="1:14" x14ac:dyDescent="0.25">
      <c r="A7" s="11" t="str">
        <f>IF(ISERROR(VLOOKUP(C7,'Caza lvl 1'!A:A,1,0)),"5lvl2","5lvl1")</f>
        <v>5lvl2</v>
      </c>
      <c r="B7" s="16" t="str">
        <f>_xlfn.IFS(A7 = "5lvl2",IF(K7&gt;=35,"Cumplio", "No cumplio"),A7 = "5lvl1",IF(L7&gt;= 35,"Cumplio","No cumplio"))</f>
        <v>Cumplio</v>
      </c>
      <c r="C7" s="48">
        <v>516441517</v>
      </c>
      <c r="D7" s="48" t="s">
        <v>133</v>
      </c>
      <c r="E7" s="28">
        <f>SUM(F7:J7)</f>
        <v>23</v>
      </c>
      <c r="F7" s="49">
        <v>0</v>
      </c>
      <c r="G7" s="49">
        <v>10</v>
      </c>
      <c r="H7" s="49">
        <v>13</v>
      </c>
      <c r="I7" s="49">
        <v>0</v>
      </c>
      <c r="J7" s="49">
        <v>0</v>
      </c>
      <c r="K7" s="25">
        <f>(H7*5)+(I7*9)+(J7*18)+G7</f>
        <v>75</v>
      </c>
      <c r="L7" s="24">
        <f>(G7*5)+(H7*15)+(I7*30)+(J7*70)+F7</f>
        <v>245</v>
      </c>
      <c r="M7" s="17" t="str" cm="1">
        <f t="array" ref="M7">_xlfn.IFS(A7="5lvl2",IF(K7&gt;=35,"No debe",35-K7), A7="5lvl1",IF(L7&gt;=35,"No debe",35-L7))</f>
        <v>No debe</v>
      </c>
      <c r="N7" s="8"/>
    </row>
    <row r="8" spans="1:14" x14ac:dyDescent="0.25">
      <c r="A8" s="11" t="str">
        <f>IF(ISERROR(VLOOKUP(C8,'Caza lvl 1'!A:A,1,0)),"5lvl2","5lvl1")</f>
        <v>5lvl2</v>
      </c>
      <c r="B8" s="16" t="str">
        <f>_xlfn.IFS(A8 = "5lvl2",IF(K8&gt;=35,"Cumplio", "No cumplio"),A8 = "5lvl1",IF(L8&gt;= 35,"Cumplio","No cumplio"))</f>
        <v>Cumplio</v>
      </c>
      <c r="C8" s="48">
        <v>1529804845</v>
      </c>
      <c r="D8" s="48" t="s">
        <v>132</v>
      </c>
      <c r="E8" s="28">
        <f>SUM(F8:J8)</f>
        <v>20</v>
      </c>
      <c r="F8" s="49">
        <v>0</v>
      </c>
      <c r="G8" s="49">
        <v>7</v>
      </c>
      <c r="H8" s="49">
        <v>13</v>
      </c>
      <c r="I8" s="49">
        <v>0</v>
      </c>
      <c r="J8" s="49">
        <v>0</v>
      </c>
      <c r="K8" s="25">
        <f>(H8*5)+(I8*9)+(J8*18)+G8</f>
        <v>72</v>
      </c>
      <c r="L8" s="24">
        <f>(G8*5)+(H8*15)+(I8*30)+(J8*70)+F8</f>
        <v>230</v>
      </c>
      <c r="M8" s="17" t="str" cm="1">
        <f t="array" ref="M8">_xlfn.IFS(A8="5lvl2",IF(K8&gt;=35,"No debe",35-K8), A8="5lvl1",IF(L8&gt;=35,"No debe",35-L8))</f>
        <v>No debe</v>
      </c>
      <c r="N8" s="8"/>
    </row>
    <row r="9" spans="1:14" x14ac:dyDescent="0.25">
      <c r="A9" s="11" t="str">
        <f>IF(ISERROR(VLOOKUP(C9,'Caza lvl 1'!A:A,1,0)),"5lvl2","5lvl1")</f>
        <v>5lvl2</v>
      </c>
      <c r="B9" s="16" t="str">
        <f>_xlfn.IFS(A9 = "5lvl2",IF(K9&gt;=35,"Cumplio", "No cumplio"),A9 = "5lvl1",IF(L9&gt;= 35,"Cumplio","No cumplio"))</f>
        <v>Cumplio</v>
      </c>
      <c r="C9" s="48">
        <v>710619616</v>
      </c>
      <c r="D9" s="48" t="s">
        <v>125</v>
      </c>
      <c r="E9" s="28">
        <f>SUM(F9:J9)</f>
        <v>12</v>
      </c>
      <c r="F9" s="49">
        <v>0</v>
      </c>
      <c r="G9" s="49">
        <v>1</v>
      </c>
      <c r="H9" s="49">
        <v>7</v>
      </c>
      <c r="I9" s="49">
        <v>4</v>
      </c>
      <c r="J9" s="49">
        <v>0</v>
      </c>
      <c r="K9" s="25">
        <f>(H9*5)+(I9*9)+(J9*18)+G9</f>
        <v>72</v>
      </c>
      <c r="L9" s="24">
        <f>(G9*5)+(H9*15)+(I9*30)+(J9*70)+F9</f>
        <v>230</v>
      </c>
      <c r="M9" s="17" t="str" cm="1">
        <f t="array" ref="M9">_xlfn.IFS(A9="5lvl2",IF(K9&gt;=35,"No debe",35-K9), A9="5lvl1",IF(L9&gt;=35,"No debe",35-L9))</f>
        <v>No debe</v>
      </c>
      <c r="N9" s="8"/>
    </row>
    <row r="10" spans="1:14" x14ac:dyDescent="0.25">
      <c r="A10" s="11" t="str">
        <f>IF(ISERROR(VLOOKUP(C10,'Caza lvl 1'!A:A,1,0)),"5lvl2","5lvl1")</f>
        <v>5lvl2</v>
      </c>
      <c r="B10" s="16" t="str">
        <f>_xlfn.IFS(A10 = "5lvl2",IF(K10&gt;=35,"Cumplio", "No cumplio"),A10 = "5lvl1",IF(L10&gt;= 35,"Cumplio","No cumplio"))</f>
        <v>Cumplio</v>
      </c>
      <c r="C10" s="48">
        <v>559847999</v>
      </c>
      <c r="D10" s="48" t="s">
        <v>6</v>
      </c>
      <c r="E10" s="28">
        <f>SUM(F10:J10)</f>
        <v>35</v>
      </c>
      <c r="F10" s="49">
        <v>0</v>
      </c>
      <c r="G10" s="49">
        <v>26</v>
      </c>
      <c r="H10" s="49">
        <v>9</v>
      </c>
      <c r="I10" s="49">
        <v>0</v>
      </c>
      <c r="J10" s="49">
        <v>0</v>
      </c>
      <c r="K10" s="25">
        <f>(H10*5)+(I10*9)+(J10*18)+G10</f>
        <v>71</v>
      </c>
      <c r="L10" s="24">
        <f>(G10*5)+(H10*15)+(I10*30)+(J10*70)+F10</f>
        <v>265</v>
      </c>
      <c r="M10" s="17" t="str" cm="1">
        <f t="array" ref="M10">_xlfn.IFS(A10="5lvl2",IF(K10&gt;=35,"No debe",35-K10), A10="5lvl1",IF(L10&gt;=35,"No debe",35-L10))</f>
        <v>No debe</v>
      </c>
      <c r="N10" s="8"/>
    </row>
    <row r="11" spans="1:14" x14ac:dyDescent="0.25">
      <c r="A11" s="11" t="str">
        <f>IF(ISERROR(VLOOKUP(C11,'Caza lvl 1'!A:A,1,0)),"5lvl2","5lvl1")</f>
        <v>5lvl2</v>
      </c>
      <c r="B11" s="16" t="str">
        <f>_xlfn.IFS(A11 = "5lvl2",IF(K11&gt;=35,"Cumplio", "No cumplio"),A11 = "5lvl1",IF(L11&gt;= 35,"Cumplio","No cumplio"))</f>
        <v>Cumplio</v>
      </c>
      <c r="C11" s="48">
        <v>663429510</v>
      </c>
      <c r="D11" s="48" t="s">
        <v>138</v>
      </c>
      <c r="E11" s="28">
        <f>SUM(F11:J11)</f>
        <v>32</v>
      </c>
      <c r="F11" s="49">
        <v>0</v>
      </c>
      <c r="G11" s="49">
        <v>26</v>
      </c>
      <c r="H11" s="49">
        <v>5</v>
      </c>
      <c r="I11" s="49">
        <v>0</v>
      </c>
      <c r="J11" s="49">
        <v>1</v>
      </c>
      <c r="K11" s="25">
        <f>(H11*5)+(I11*9)+(J11*18)+G11</f>
        <v>69</v>
      </c>
      <c r="L11" s="24">
        <f>(G11*5)+(H11*15)+(I11*30)+(J11*70)+F11</f>
        <v>275</v>
      </c>
      <c r="M11" s="17" t="str" cm="1">
        <f t="array" ref="M11">_xlfn.IFS(A11="5lvl2",IF(K11&gt;=35,"No debe",35-K11), A11="5lvl1",IF(L11&gt;=35,"No debe",35-L11))</f>
        <v>No debe</v>
      </c>
      <c r="N11" s="8"/>
    </row>
    <row r="12" spans="1:14" x14ac:dyDescent="0.25">
      <c r="A12" s="11" t="str">
        <f>IF(ISERROR(VLOOKUP(C12,'Caza lvl 1'!A:A,1,0)),"5lvl2","5lvl1")</f>
        <v>5lvl2</v>
      </c>
      <c r="B12" s="16" t="str">
        <f>_xlfn.IFS(A12 = "5lvl2",IF(K12&gt;=35,"Cumplio", "No cumplio"),A12 = "5lvl1",IF(L12&gt;= 35,"Cumplio","No cumplio"))</f>
        <v>Cumplio</v>
      </c>
      <c r="C12" s="48">
        <v>1092680272</v>
      </c>
      <c r="D12" s="48" t="s">
        <v>72</v>
      </c>
      <c r="E12" s="28">
        <f>SUM(F12:J12)</f>
        <v>28</v>
      </c>
      <c r="F12" s="49">
        <v>0</v>
      </c>
      <c r="G12" s="49">
        <v>21</v>
      </c>
      <c r="H12" s="49">
        <v>4</v>
      </c>
      <c r="I12" s="49">
        <v>3</v>
      </c>
      <c r="J12" s="49">
        <v>0</v>
      </c>
      <c r="K12" s="25">
        <f>(H12*5)+(I12*9)+(J12*18)+G12</f>
        <v>68</v>
      </c>
      <c r="L12" s="24">
        <f>(G12*5)+(H12*15)+(I12*30)+(J12*70)+F12</f>
        <v>255</v>
      </c>
      <c r="M12" s="17" t="str" cm="1">
        <f t="array" ref="M12">_xlfn.IFS(A12="5lvl2",IF(K12&gt;=35,"No debe",35-K12), A12="5lvl1",IF(L12&gt;=35,"No debe",35-L12))</f>
        <v>No debe</v>
      </c>
      <c r="N12" s="8"/>
    </row>
    <row r="13" spans="1:14" x14ac:dyDescent="0.25">
      <c r="A13" s="11" t="str">
        <f>IF(ISERROR(VLOOKUP(C13,'Caza lvl 1'!A:A,1,0)),"5lvl2","5lvl1")</f>
        <v>5lvl2</v>
      </c>
      <c r="B13" s="16" t="str">
        <f>_xlfn.IFS(A13 = "5lvl2",IF(K13&gt;=35,"Cumplio", "No cumplio"),A13 = "5lvl1",IF(L13&gt;= 35,"Cumplio","No cumplio"))</f>
        <v>Cumplio</v>
      </c>
      <c r="C13" s="48">
        <v>884346374</v>
      </c>
      <c r="D13" s="48" t="s">
        <v>126</v>
      </c>
      <c r="E13" s="28">
        <f>SUM(F13:J13)</f>
        <v>40</v>
      </c>
      <c r="F13" s="49">
        <v>0</v>
      </c>
      <c r="G13" s="49">
        <v>33</v>
      </c>
      <c r="H13" s="49">
        <v>7</v>
      </c>
      <c r="I13" s="49">
        <v>0</v>
      </c>
      <c r="J13" s="49">
        <v>0</v>
      </c>
      <c r="K13" s="25">
        <f>(H13*5)+(I13*9)+(J13*18)+G13</f>
        <v>68</v>
      </c>
      <c r="L13" s="24">
        <f>(G13*5)+(H13*15)+(I13*30)+(J13*70)+F13</f>
        <v>270</v>
      </c>
      <c r="M13" s="17" t="str" cm="1">
        <f t="array" ref="M13">_xlfn.IFS(A13="5lvl2",IF(K13&gt;=35,"No debe",35-K13), A13="5lvl1",IF(L13&gt;=35,"No debe",35-L13))</f>
        <v>No debe</v>
      </c>
      <c r="N13" s="8"/>
    </row>
    <row r="14" spans="1:14" x14ac:dyDescent="0.25">
      <c r="A14" s="11" t="str">
        <f>IF(ISERROR(VLOOKUP(C14,'Caza lvl 1'!A:A,1,0)),"5lvl2","5lvl1")</f>
        <v>5lvl2</v>
      </c>
      <c r="B14" s="16" t="str">
        <f>_xlfn.IFS(A14 = "5lvl2",IF(K14&gt;=35,"Cumplio", "No cumplio"),A14 = "5lvl1",IF(L14&gt;= 35,"Cumplio","No cumplio"))</f>
        <v>Cumplio</v>
      </c>
      <c r="C14" s="48">
        <v>1346964807</v>
      </c>
      <c r="D14" s="48" t="s">
        <v>131</v>
      </c>
      <c r="E14" s="28">
        <f>SUM(F14:J14)</f>
        <v>29</v>
      </c>
      <c r="F14" s="49">
        <v>2</v>
      </c>
      <c r="G14" s="49">
        <v>18</v>
      </c>
      <c r="H14" s="49">
        <v>9</v>
      </c>
      <c r="I14" s="49">
        <v>0</v>
      </c>
      <c r="J14" s="49">
        <v>0</v>
      </c>
      <c r="K14" s="25">
        <f>(H14*5)+(I14*9)+(J14*18)+G14</f>
        <v>63</v>
      </c>
      <c r="L14" s="24">
        <f>(G14*5)+(H14*15)+(I14*30)+(J14*70)+F14</f>
        <v>227</v>
      </c>
      <c r="M14" s="17" t="str" cm="1">
        <f t="array" ref="M14">_xlfn.IFS(A14="5lvl2",IF(K14&gt;=35,"No debe",35-K14), A14="5lvl1",IF(L14&gt;=35,"No debe",35-L14))</f>
        <v>No debe</v>
      </c>
      <c r="N14" s="8"/>
    </row>
    <row r="15" spans="1:14" x14ac:dyDescent="0.25">
      <c r="A15" s="11" t="str">
        <f>IF(ISERROR(VLOOKUP(C15,'Caza lvl 1'!A:A,1,0)),"5lvl2","5lvl1")</f>
        <v>5lvl2</v>
      </c>
      <c r="B15" s="16" t="str">
        <f>_xlfn.IFS(A15 = "5lvl2",IF(K15&gt;=35,"Cumplio", "No cumplio"),A15 = "5lvl1",IF(L15&gt;= 35,"Cumplio","No cumplio"))</f>
        <v>Cumplio</v>
      </c>
      <c r="C15" s="48">
        <v>376342700</v>
      </c>
      <c r="D15" s="48" t="s">
        <v>140</v>
      </c>
      <c r="E15" s="28">
        <f>SUM(F15:J15)</f>
        <v>21</v>
      </c>
      <c r="F15" s="49">
        <v>0</v>
      </c>
      <c r="G15" s="49">
        <v>11</v>
      </c>
      <c r="H15" s="49">
        <v>10</v>
      </c>
      <c r="I15" s="49">
        <v>0</v>
      </c>
      <c r="J15" s="49">
        <v>0</v>
      </c>
      <c r="K15" s="25">
        <f>(H15*5)+(I15*9)+(J15*18)+G15</f>
        <v>61</v>
      </c>
      <c r="L15" s="24">
        <f>(G15*5)+(H15*15)+(I15*30)+(J15*70)+F15</f>
        <v>205</v>
      </c>
      <c r="M15" s="17" t="str" cm="1">
        <f t="array" ref="M15">_xlfn.IFS(A15="5lvl2",IF(K15&gt;=35,"No debe",35-K15), A15="5lvl1",IF(L15&gt;=35,"No debe",35-L15))</f>
        <v>No debe</v>
      </c>
      <c r="N15" s="8"/>
    </row>
    <row r="16" spans="1:14" x14ac:dyDescent="0.25">
      <c r="A16" s="11" t="str">
        <f>IF(ISERROR(VLOOKUP(C16,'Caza lvl 1'!A:A,1,0)),"5lvl2","5lvl1")</f>
        <v>5lvl2</v>
      </c>
      <c r="B16" s="16" t="str">
        <f>_xlfn.IFS(A16 = "5lvl2",IF(K16&gt;=35,"Cumplio", "No cumplio"),A16 = "5lvl1",IF(L16&gt;= 35,"Cumplio","No cumplio"))</f>
        <v>Cumplio</v>
      </c>
      <c r="C16" s="48">
        <v>527890484</v>
      </c>
      <c r="D16" s="48" t="s">
        <v>118</v>
      </c>
      <c r="E16" s="28">
        <f>SUM(F16:J16)</f>
        <v>37</v>
      </c>
      <c r="F16" s="49">
        <v>0</v>
      </c>
      <c r="G16" s="49">
        <v>31</v>
      </c>
      <c r="H16" s="49">
        <v>6</v>
      </c>
      <c r="I16" s="49">
        <v>0</v>
      </c>
      <c r="J16" s="49">
        <v>0</v>
      </c>
      <c r="K16" s="25">
        <f>(H16*5)+(I16*9)+(J16*18)+G16</f>
        <v>61</v>
      </c>
      <c r="L16" s="24">
        <f>(G16*5)+(H16*15)+(I16*30)+(J16*70)+F16</f>
        <v>245</v>
      </c>
      <c r="M16" s="17" t="str" cm="1">
        <f t="array" ref="M16">_xlfn.IFS(A16="5lvl2",IF(K16&gt;=35,"No debe",35-K16), A16="5lvl1",IF(L16&gt;=35,"No debe",35-L16))</f>
        <v>No debe</v>
      </c>
      <c r="N16" s="8"/>
    </row>
    <row r="17" spans="1:14" x14ac:dyDescent="0.25">
      <c r="A17" s="11" t="str">
        <f>IF(ISERROR(VLOOKUP(C17,'Caza lvl 1'!A:A,1,0)),"5lvl2","5lvl1")</f>
        <v>5lvl2</v>
      </c>
      <c r="B17" s="16" t="str">
        <f>_xlfn.IFS(A17 = "5lvl2",IF(K17&gt;=35,"Cumplio", "No cumplio"),A17 = "5lvl1",IF(L17&gt;= 35,"Cumplio","No cumplio"))</f>
        <v>Cumplio</v>
      </c>
      <c r="C17" s="48">
        <v>1040607318</v>
      </c>
      <c r="D17" s="48" t="s">
        <v>148</v>
      </c>
      <c r="E17" s="28">
        <f>SUM(F17:J17)</f>
        <v>36</v>
      </c>
      <c r="F17" s="49">
        <v>0</v>
      </c>
      <c r="G17" s="49">
        <v>30</v>
      </c>
      <c r="H17" s="49">
        <v>6</v>
      </c>
      <c r="I17" s="49">
        <v>0</v>
      </c>
      <c r="J17" s="49">
        <v>0</v>
      </c>
      <c r="K17" s="25">
        <f>(H17*5)+(I17*9)+(J17*18)+G17</f>
        <v>60</v>
      </c>
      <c r="L17" s="24">
        <f>(G17*5)+(H17*15)+(I17*30)+(J17*70)+F17</f>
        <v>240</v>
      </c>
      <c r="M17" s="17" t="str" cm="1">
        <f t="array" ref="M17">_xlfn.IFS(A17="5lvl2",IF(K17&gt;=35,"No debe",35-K17), A17="5lvl1",IF(L17&gt;=35,"No debe",35-L17))</f>
        <v>No debe</v>
      </c>
      <c r="N17" s="8"/>
    </row>
    <row r="18" spans="1:14" x14ac:dyDescent="0.25">
      <c r="A18" s="11" t="str">
        <f>IF(ISERROR(VLOOKUP(C18,'Caza lvl 1'!A:A,1,0)),"5lvl2","5lvl1")</f>
        <v>5lvl2</v>
      </c>
      <c r="B18" s="16" t="str">
        <f>_xlfn.IFS(A18 = "5lvl2",IF(K18&gt;=35,"Cumplio", "No cumplio"),A18 = "5lvl1",IF(L18&gt;= 35,"Cumplio","No cumplio"))</f>
        <v>Cumplio</v>
      </c>
      <c r="C18" s="48">
        <v>424972261</v>
      </c>
      <c r="D18" s="48" t="s">
        <v>150</v>
      </c>
      <c r="E18" s="28">
        <f>SUM(F18:J18)</f>
        <v>20</v>
      </c>
      <c r="F18" s="49">
        <v>0</v>
      </c>
      <c r="G18" s="49">
        <v>10</v>
      </c>
      <c r="H18" s="49">
        <v>10</v>
      </c>
      <c r="I18" s="49">
        <v>0</v>
      </c>
      <c r="J18" s="49">
        <v>0</v>
      </c>
      <c r="K18" s="25">
        <f>(H18*5)+(I18*9)+(J18*18)+G18</f>
        <v>60</v>
      </c>
      <c r="L18" s="24">
        <f>(G18*5)+(H18*15)+(I18*30)+(J18*70)+F18</f>
        <v>200</v>
      </c>
      <c r="M18" s="17" t="str" cm="1">
        <f t="array" ref="M18">_xlfn.IFS(A18="5lvl2",IF(K18&gt;=35,"No debe",35-K18), A18="5lvl1",IF(L18&gt;=35,"No debe",35-L18))</f>
        <v>No debe</v>
      </c>
      <c r="N18" s="8"/>
    </row>
    <row r="19" spans="1:14" x14ac:dyDescent="0.25">
      <c r="A19" s="11" t="str">
        <f>IF(ISERROR(VLOOKUP(C19,'Caza lvl 1'!A:A,1,0)),"5lvl2","5lvl1")</f>
        <v>5lvl2</v>
      </c>
      <c r="B19" s="16" t="str">
        <f>_xlfn.IFS(A19 = "5lvl2",IF(K19&gt;=35,"Cumplio", "No cumplio"),A19 = "5lvl1",IF(L19&gt;= 35,"Cumplio","No cumplio"))</f>
        <v>Cumplio</v>
      </c>
      <c r="C19" s="48">
        <v>1112847542</v>
      </c>
      <c r="D19" s="48" t="s">
        <v>122</v>
      </c>
      <c r="E19" s="28">
        <f>SUM(F19:J19)</f>
        <v>18</v>
      </c>
      <c r="F19" s="49">
        <v>0</v>
      </c>
      <c r="G19" s="49">
        <v>8</v>
      </c>
      <c r="H19" s="49">
        <v>10</v>
      </c>
      <c r="I19" s="49">
        <v>0</v>
      </c>
      <c r="J19" s="49">
        <v>0</v>
      </c>
      <c r="K19" s="25">
        <f>(H19*5)+(I19*9)+(J19*18)+G19</f>
        <v>58</v>
      </c>
      <c r="L19" s="24">
        <f>(G19*5)+(H19*15)+(I19*30)+(J19*70)+F19</f>
        <v>190</v>
      </c>
      <c r="M19" s="17" t="str" cm="1">
        <f t="array" ref="M19">_xlfn.IFS(A19="5lvl2",IF(K19&gt;=35,"No debe",35-K19), A19="5lvl1",IF(L19&gt;=35,"No debe",35-L19))</f>
        <v>No debe</v>
      </c>
      <c r="N19" s="8"/>
    </row>
    <row r="20" spans="1:14" x14ac:dyDescent="0.25">
      <c r="A20" s="11" t="str">
        <f>IF(ISERROR(VLOOKUP(C20,'Caza lvl 1'!A:A,1,0)),"5lvl2","5lvl1")</f>
        <v>5lvl2</v>
      </c>
      <c r="B20" s="16" t="str">
        <f>_xlfn.IFS(A20 = "5lvl2",IF(K20&gt;=35,"Cumplio", "No cumplio"),A20 = "5lvl1",IF(L20&gt;= 35,"Cumplio","No cumplio"))</f>
        <v>Cumplio</v>
      </c>
      <c r="C20" s="48">
        <v>395091349</v>
      </c>
      <c r="D20" s="48" t="s">
        <v>183</v>
      </c>
      <c r="E20" s="28">
        <f>SUM(F20:J20)</f>
        <v>38</v>
      </c>
      <c r="F20" s="49">
        <v>0</v>
      </c>
      <c r="G20" s="49">
        <v>35</v>
      </c>
      <c r="H20" s="49">
        <v>1</v>
      </c>
      <c r="I20" s="49">
        <v>2</v>
      </c>
      <c r="J20" s="49">
        <v>0</v>
      </c>
      <c r="K20" s="25">
        <f>(H20*5)+(I20*9)+(J20*18)+G20</f>
        <v>58</v>
      </c>
      <c r="L20" s="24">
        <f>(G20*5)+(H20*15)+(I20*30)+(J20*70)+F20</f>
        <v>250</v>
      </c>
      <c r="M20" s="17" t="str" cm="1">
        <f t="array" ref="M20">_xlfn.IFS(A20="5lvl2",IF(K20&gt;=35,"No debe",35-K20), A20="5lvl1",IF(L20&gt;=35,"No debe",35-L20))</f>
        <v>No debe</v>
      </c>
      <c r="N20" s="8"/>
    </row>
    <row r="21" spans="1:14" x14ac:dyDescent="0.25">
      <c r="A21" s="11" t="str">
        <f>IF(ISERROR(VLOOKUP(C21,'Caza lvl 1'!A:A,1,0)),"5lvl2","5lvl1")</f>
        <v>5lvl2</v>
      </c>
      <c r="B21" s="16" t="str">
        <f>_xlfn.IFS(A21 = "5lvl2",IF(K21&gt;=35,"Cumplio", "No cumplio"),A21 = "5lvl1",IF(L21&gt;= 35,"Cumplio","No cumplio"))</f>
        <v>Cumplio</v>
      </c>
      <c r="C21" s="48">
        <v>881905775</v>
      </c>
      <c r="D21" s="48" t="s">
        <v>188</v>
      </c>
      <c r="E21" s="28">
        <f>SUM(F21:J21)</f>
        <v>39</v>
      </c>
      <c r="F21" s="49">
        <v>0</v>
      </c>
      <c r="G21" s="49">
        <v>35</v>
      </c>
      <c r="H21" s="49">
        <v>4</v>
      </c>
      <c r="I21" s="49">
        <v>0</v>
      </c>
      <c r="J21" s="49">
        <v>0</v>
      </c>
      <c r="K21" s="25">
        <f>(H21*5)+(I21*9)+(J21*18)+G21</f>
        <v>55</v>
      </c>
      <c r="L21" s="24">
        <f>(G21*5)+(H21*15)+(I21*30)+(J21*70)+F21</f>
        <v>235</v>
      </c>
      <c r="M21" s="17" t="str" cm="1">
        <f t="array" ref="M21">_xlfn.IFS(A21="5lvl2",IF(K21&gt;=35,"No debe",35-K21), A21="5lvl1",IF(L21&gt;=35,"No debe",35-L21))</f>
        <v>No debe</v>
      </c>
      <c r="N21" s="8"/>
    </row>
    <row r="22" spans="1:14" x14ac:dyDescent="0.25">
      <c r="A22" s="11" t="str">
        <f>IF(ISERROR(VLOOKUP(C22,'Caza lvl 1'!A:A,1,0)),"5lvl2","5lvl1")</f>
        <v>5lvl2</v>
      </c>
      <c r="B22" s="16" t="str">
        <f>_xlfn.IFS(A22 = "5lvl2",IF(K22&gt;=35,"Cumplio", "No cumplio"),A22 = "5lvl1",IF(L22&gt;= 35,"Cumplio","No cumplio"))</f>
        <v>Cumplio</v>
      </c>
      <c r="C22" s="48">
        <v>689257712</v>
      </c>
      <c r="D22" s="48" t="s">
        <v>121</v>
      </c>
      <c r="E22" s="28">
        <f>SUM(F22:J22)</f>
        <v>13</v>
      </c>
      <c r="F22" s="49">
        <v>0</v>
      </c>
      <c r="G22" s="49">
        <v>3</v>
      </c>
      <c r="H22" s="49">
        <v>10</v>
      </c>
      <c r="I22" s="49">
        <v>0</v>
      </c>
      <c r="J22" s="49">
        <v>0</v>
      </c>
      <c r="K22" s="25">
        <f>(H22*5)+(I22*9)+(J22*18)+G22</f>
        <v>53</v>
      </c>
      <c r="L22" s="24">
        <f>(G22*5)+(H22*15)+(I22*30)+(J22*70)+F22</f>
        <v>165</v>
      </c>
      <c r="M22" s="17" t="str" cm="1">
        <f t="array" ref="M22">_xlfn.IFS(A22="5lvl2",IF(K22&gt;=35,"No debe",35-K22), A22="5lvl1",IF(L22&gt;=35,"No debe",35-L22))</f>
        <v>No debe</v>
      </c>
      <c r="N22" s="8"/>
    </row>
    <row r="23" spans="1:14" x14ac:dyDescent="0.25">
      <c r="A23" s="11" t="str">
        <f>IF(ISERROR(VLOOKUP(C23,'Caza lvl 1'!A:A,1,0)),"5lvl2","5lvl1")</f>
        <v>5lvl2</v>
      </c>
      <c r="B23" s="16" t="str">
        <f>_xlfn.IFS(A23 = "5lvl2",IF(K23&gt;=35,"Cumplio", "No cumplio"),A23 = "5lvl1",IF(L23&gt;= 35,"Cumplio","No cumplio"))</f>
        <v>Cumplio</v>
      </c>
      <c r="C23" s="48">
        <v>1276495104</v>
      </c>
      <c r="D23" s="48" t="s">
        <v>144</v>
      </c>
      <c r="E23" s="28">
        <f>SUM(F23:J23)</f>
        <v>33</v>
      </c>
      <c r="F23" s="49">
        <v>0</v>
      </c>
      <c r="G23" s="49">
        <v>28</v>
      </c>
      <c r="H23" s="49">
        <v>5</v>
      </c>
      <c r="I23" s="49">
        <v>0</v>
      </c>
      <c r="J23" s="49">
        <v>0</v>
      </c>
      <c r="K23" s="25">
        <f>(H23*5)+(I23*9)+(J23*18)+G23</f>
        <v>53</v>
      </c>
      <c r="L23" s="24">
        <f>(G23*5)+(H23*15)+(I23*30)+(J23*70)+F23</f>
        <v>215</v>
      </c>
      <c r="M23" s="17" t="str" cm="1">
        <f t="array" ref="M23">_xlfn.IFS(A23="5lvl2",IF(K23&gt;=35,"No debe",35-K23), A23="5lvl1",IF(L23&gt;=35,"No debe",35-L23))</f>
        <v>No debe</v>
      </c>
      <c r="N23" s="8"/>
    </row>
    <row r="24" spans="1:14" x14ac:dyDescent="0.25">
      <c r="A24" s="11" t="str">
        <f>IF(ISERROR(VLOOKUP(C24,'Caza lvl 1'!A:A,1,0)),"5lvl2","5lvl1")</f>
        <v>5lvl2</v>
      </c>
      <c r="B24" s="16" t="str">
        <f>_xlfn.IFS(A24 = "5lvl2",IF(K24&gt;=35,"Cumplio", "No cumplio"),A24 = "5lvl1",IF(L24&gt;= 35,"Cumplio","No cumplio"))</f>
        <v>Cumplio</v>
      </c>
      <c r="C24" s="48">
        <v>804415402</v>
      </c>
      <c r="D24" s="48" t="s">
        <v>80</v>
      </c>
      <c r="E24" s="28">
        <f>SUM(F24:J24)</f>
        <v>12</v>
      </c>
      <c r="F24" s="49">
        <v>0</v>
      </c>
      <c r="G24" s="49">
        <v>2</v>
      </c>
      <c r="H24" s="49">
        <v>10</v>
      </c>
      <c r="I24" s="49">
        <v>0</v>
      </c>
      <c r="J24" s="49">
        <v>0</v>
      </c>
      <c r="K24" s="25">
        <f>(H24*5)+(I24*9)+(J24*18)+G24</f>
        <v>52</v>
      </c>
      <c r="L24" s="24">
        <f>(G24*5)+(H24*15)+(I24*30)+(J24*70)+F24</f>
        <v>160</v>
      </c>
      <c r="M24" s="17" t="str" cm="1">
        <f t="array" ref="M24">_xlfn.IFS(A24="5lvl2",IF(K24&gt;=35,"No debe",35-K24), A24="5lvl1",IF(L24&gt;=35,"No debe",35-L24))</f>
        <v>No debe</v>
      </c>
      <c r="N24" s="8"/>
    </row>
    <row r="25" spans="1:14" x14ac:dyDescent="0.25">
      <c r="A25" s="11" t="str">
        <f>IF(ISERROR(VLOOKUP(C25,'Caza lvl 1'!A:A,1,0)),"5lvl2","5lvl1")</f>
        <v>5lvl2</v>
      </c>
      <c r="B25" s="16" t="str">
        <f>_xlfn.IFS(A25 = "5lvl2",IF(K25&gt;=35,"Cumplio", "No cumplio"),A25 = "5lvl1",IF(L25&gt;= 35,"Cumplio","No cumplio"))</f>
        <v>Cumplio</v>
      </c>
      <c r="C25" s="48">
        <v>969689378</v>
      </c>
      <c r="D25" s="48" t="s">
        <v>179</v>
      </c>
      <c r="E25" s="28">
        <f>SUM(F25:J25)</f>
        <v>36</v>
      </c>
      <c r="F25" s="49">
        <v>0</v>
      </c>
      <c r="G25" s="49">
        <v>32</v>
      </c>
      <c r="H25" s="49">
        <v>4</v>
      </c>
      <c r="I25" s="49">
        <v>0</v>
      </c>
      <c r="J25" s="49">
        <v>0</v>
      </c>
      <c r="K25" s="25">
        <f>(H25*5)+(I25*9)+(J25*18)+G25</f>
        <v>52</v>
      </c>
      <c r="L25" s="24">
        <f>(G25*5)+(H25*15)+(I25*30)+(J25*70)+F25</f>
        <v>220</v>
      </c>
      <c r="M25" s="17" t="str" cm="1">
        <f t="array" ref="M25">_xlfn.IFS(A25="5lvl2",IF(K25&gt;=35,"No debe",35-K25), A25="5lvl1",IF(L25&gt;=35,"No debe",35-L25))</f>
        <v>No debe</v>
      </c>
      <c r="N25" s="8"/>
    </row>
    <row r="26" spans="1:14" x14ac:dyDescent="0.25">
      <c r="A26" s="11" t="str">
        <f>IF(ISERROR(VLOOKUP(C26,'Caza lvl 1'!A:A,1,0)),"5lvl2","5lvl1")</f>
        <v>5lvl2</v>
      </c>
      <c r="B26" s="16" t="str">
        <f>_xlfn.IFS(A26 = "5lvl2",IF(K26&gt;=35,"Cumplio", "No cumplio"),A26 = "5lvl1",IF(L26&gt;= 35,"Cumplio","No cumplio"))</f>
        <v>Cumplio</v>
      </c>
      <c r="C26" s="48">
        <v>1041184896</v>
      </c>
      <c r="D26" s="48" t="s">
        <v>174</v>
      </c>
      <c r="E26" s="28">
        <f>SUM(F26:J26)</f>
        <v>29</v>
      </c>
      <c r="F26" s="49">
        <v>0</v>
      </c>
      <c r="G26" s="49">
        <v>24</v>
      </c>
      <c r="H26" s="49">
        <v>5</v>
      </c>
      <c r="I26" s="49">
        <v>0</v>
      </c>
      <c r="J26" s="49">
        <v>0</v>
      </c>
      <c r="K26" s="25">
        <f>(H26*5)+(I26*9)+(J26*18)+G26</f>
        <v>49</v>
      </c>
      <c r="L26" s="24">
        <f>(G26*5)+(H26*15)+(I26*30)+(J26*70)+F26</f>
        <v>195</v>
      </c>
      <c r="M26" s="17" t="str" cm="1">
        <f t="array" ref="M26">_xlfn.IFS(A26="5lvl2",IF(K26&gt;=35,"No debe",35-K26), A26="5lvl1",IF(L26&gt;=35,"No debe",35-L26))</f>
        <v>No debe</v>
      </c>
      <c r="N26" s="8"/>
    </row>
    <row r="27" spans="1:14" x14ac:dyDescent="0.25">
      <c r="A27" s="11" t="str">
        <f>IF(ISERROR(VLOOKUP(C27,'Caza lvl 1'!A:A,1,0)),"5lvl2","5lvl1")</f>
        <v>5lvl2</v>
      </c>
      <c r="B27" s="16" t="str">
        <f>_xlfn.IFS(A27 = "5lvl2",IF(K27&gt;=35,"Cumplio", "No cumplio"),A27 = "5lvl1",IF(L27&gt;= 35,"Cumplio","No cumplio"))</f>
        <v>Cumplio</v>
      </c>
      <c r="C27" s="48">
        <v>605950874</v>
      </c>
      <c r="D27" s="48" t="s">
        <v>149</v>
      </c>
      <c r="E27" s="28">
        <f>SUM(F27:J27)</f>
        <v>17</v>
      </c>
      <c r="F27" s="49">
        <v>0</v>
      </c>
      <c r="G27" s="49">
        <v>9</v>
      </c>
      <c r="H27" s="49">
        <v>8</v>
      </c>
      <c r="I27" s="49">
        <v>0</v>
      </c>
      <c r="J27" s="49">
        <v>0</v>
      </c>
      <c r="K27" s="25">
        <f>(H27*5)+(I27*9)+(J27*18)+G27</f>
        <v>49</v>
      </c>
      <c r="L27" s="24">
        <f>(G27*5)+(H27*15)+(I27*30)+(J27*70)+F27</f>
        <v>165</v>
      </c>
      <c r="M27" s="17" t="str" cm="1">
        <f t="array" ref="M27">_xlfn.IFS(A27="5lvl2",IF(K27&gt;=35,"No debe",35-K27), A27="5lvl1",IF(L27&gt;=35,"No debe",35-L27))</f>
        <v>No debe</v>
      </c>
      <c r="N27" s="8"/>
    </row>
    <row r="28" spans="1:14" x14ac:dyDescent="0.25">
      <c r="A28" s="11" t="str">
        <f>IF(ISERROR(VLOOKUP(C28,'Caza lvl 1'!A:A,1,0)),"5lvl2","5lvl1")</f>
        <v>5lvl2</v>
      </c>
      <c r="B28" s="16" t="str">
        <f>_xlfn.IFS(A28 = "5lvl2",IF(K28&gt;=35,"Cumplio", "No cumplio"),A28 = "5lvl1",IF(L28&gt;= 35,"Cumplio","No cumplio"))</f>
        <v>Cumplio</v>
      </c>
      <c r="C28" s="48">
        <v>723725687</v>
      </c>
      <c r="D28" s="48" t="s">
        <v>71</v>
      </c>
      <c r="E28" s="28">
        <f>SUM(F28:J28)</f>
        <v>44</v>
      </c>
      <c r="F28" s="49">
        <v>0</v>
      </c>
      <c r="G28" s="49">
        <v>43</v>
      </c>
      <c r="H28" s="49">
        <v>1</v>
      </c>
      <c r="I28" s="49">
        <v>0</v>
      </c>
      <c r="J28" s="49">
        <v>0</v>
      </c>
      <c r="K28" s="25">
        <f>(H28*5)+(I28*9)+(J28*18)+G28</f>
        <v>48</v>
      </c>
      <c r="L28" s="24">
        <f>(G28*5)+(H28*15)+(I28*30)+(J28*70)+F28</f>
        <v>230</v>
      </c>
      <c r="M28" s="17" t="str" cm="1">
        <f t="array" ref="M28">_xlfn.IFS(A28="5lvl2",IF(K28&gt;=35,"No debe",35-K28), A28="5lvl1",IF(L28&gt;=35,"No debe",35-L28))</f>
        <v>No debe</v>
      </c>
      <c r="N28" s="8"/>
    </row>
    <row r="29" spans="1:14" x14ac:dyDescent="0.25">
      <c r="A29" s="11" t="str">
        <f>IF(ISERROR(VLOOKUP(C29,'Caza lvl 1'!A:A,1,0)),"5lvl2","5lvl1")</f>
        <v>5lvl2</v>
      </c>
      <c r="B29" s="16" t="str">
        <f>_xlfn.IFS(A29 = "5lvl2",IF(K29&gt;=35,"Cumplio", "No cumplio"),A29 = "5lvl1",IF(L29&gt;= 35,"Cumplio","No cumplio"))</f>
        <v>Cumplio</v>
      </c>
      <c r="C29" s="48">
        <v>640955210</v>
      </c>
      <c r="D29" s="48" t="s">
        <v>175</v>
      </c>
      <c r="E29" s="28">
        <f>SUM(F29:J29)</f>
        <v>16</v>
      </c>
      <c r="F29" s="49">
        <v>0</v>
      </c>
      <c r="G29" s="49">
        <v>10</v>
      </c>
      <c r="H29" s="49">
        <v>4</v>
      </c>
      <c r="I29" s="49">
        <v>2</v>
      </c>
      <c r="J29" s="49">
        <v>0</v>
      </c>
      <c r="K29" s="25">
        <f>(H29*5)+(I29*9)+(J29*18)+G29</f>
        <v>48</v>
      </c>
      <c r="L29" s="24">
        <f>(G29*5)+(H29*15)+(I29*30)+(J29*70)+F29</f>
        <v>170</v>
      </c>
      <c r="M29" s="17" t="str" cm="1">
        <f t="array" ref="M29">_xlfn.IFS(A29="5lvl2",IF(K29&gt;=35,"No debe",35-K29), A29="5lvl1",IF(L29&gt;=35,"No debe",35-L29))</f>
        <v>No debe</v>
      </c>
      <c r="N29" s="8"/>
    </row>
    <row r="30" spans="1:14" x14ac:dyDescent="0.25">
      <c r="A30" s="11" t="str">
        <f>IF(ISERROR(VLOOKUP(C30,'Caza lvl 1'!A:A,1,0)),"5lvl2","5lvl1")</f>
        <v>5lvl2</v>
      </c>
      <c r="B30" s="16" t="str">
        <f>_xlfn.IFS(A30 = "5lvl2",IF(K30&gt;=35,"Cumplio", "No cumplio"),A30 = "5lvl1",IF(L30&gt;= 35,"Cumplio","No cumplio"))</f>
        <v>Cumplio</v>
      </c>
      <c r="C30" s="48">
        <v>677616563</v>
      </c>
      <c r="D30" s="48" t="s">
        <v>172</v>
      </c>
      <c r="E30" s="28">
        <f>SUM(F30:J30)</f>
        <v>30</v>
      </c>
      <c r="F30" s="49">
        <v>0</v>
      </c>
      <c r="G30" s="49">
        <v>26</v>
      </c>
      <c r="H30" s="49">
        <v>4</v>
      </c>
      <c r="I30" s="49">
        <v>0</v>
      </c>
      <c r="J30" s="49">
        <v>0</v>
      </c>
      <c r="K30" s="25">
        <f>(H30*5)+(I30*9)+(J30*18)+G30</f>
        <v>46</v>
      </c>
      <c r="L30" s="24">
        <f>(G30*5)+(H30*15)+(I30*30)+(J30*70)+F30</f>
        <v>190</v>
      </c>
      <c r="M30" s="17" t="str" cm="1">
        <f t="array" ref="M30">_xlfn.IFS(A30="5lvl2",IF(K30&gt;=35,"No debe",35-K30), A30="5lvl1",IF(L30&gt;=35,"No debe",35-L30))</f>
        <v>No debe</v>
      </c>
      <c r="N30" s="8"/>
    </row>
    <row r="31" spans="1:14" x14ac:dyDescent="0.25">
      <c r="A31" s="11" t="str">
        <f>IF(ISERROR(VLOOKUP(C31,'Caza lvl 1'!A:A,1,0)),"5lvl2","5lvl1")</f>
        <v>5lvl2</v>
      </c>
      <c r="B31" s="16" t="str">
        <f>_xlfn.IFS(A31 = "5lvl2",IF(K31&gt;=35,"Cumplio", "No cumplio"),A31 = "5lvl1",IF(L31&gt;= 35,"Cumplio","No cumplio"))</f>
        <v>Cumplio</v>
      </c>
      <c r="C31" s="48">
        <v>1040942817</v>
      </c>
      <c r="D31" s="48" t="s">
        <v>124</v>
      </c>
      <c r="E31" s="28">
        <f>SUM(F31:J31)</f>
        <v>9</v>
      </c>
      <c r="F31" s="49">
        <v>0</v>
      </c>
      <c r="G31" s="49">
        <v>0</v>
      </c>
      <c r="H31" s="49">
        <v>9</v>
      </c>
      <c r="I31" s="49">
        <v>0</v>
      </c>
      <c r="J31" s="49">
        <v>0</v>
      </c>
      <c r="K31" s="25">
        <f>(H31*5)+(I31*9)+(J31*18)+G31</f>
        <v>45</v>
      </c>
      <c r="L31" s="24">
        <f>(G31*5)+(H31*15)+(I31*30)+(J31*70)+F31</f>
        <v>135</v>
      </c>
      <c r="M31" s="17" t="str" cm="1">
        <f t="array" ref="M31">_xlfn.IFS(A31="5lvl2",IF(K31&gt;=35,"No debe",35-K31), A31="5lvl1",IF(L31&gt;=35,"No debe",35-L31))</f>
        <v>No debe</v>
      </c>
      <c r="N31" s="8"/>
    </row>
    <row r="32" spans="1:14" x14ac:dyDescent="0.25">
      <c r="A32" s="11" t="str">
        <f>IF(ISERROR(VLOOKUP(C32,'Caza lvl 1'!A:A,1,0)),"5lvl2","5lvl1")</f>
        <v>5lvl2</v>
      </c>
      <c r="B32" s="16" t="str">
        <f>_xlfn.IFS(A32 = "5lvl2",IF(K32&gt;=35,"Cumplio", "No cumplio"),A32 = "5lvl1",IF(L32&gt;= 35,"Cumplio","No cumplio"))</f>
        <v>Cumplio</v>
      </c>
      <c r="C32" s="48">
        <v>526268020</v>
      </c>
      <c r="D32" s="48" t="s">
        <v>28</v>
      </c>
      <c r="E32" s="28">
        <f>SUM(F32:J32)</f>
        <v>33</v>
      </c>
      <c r="F32" s="49">
        <v>0</v>
      </c>
      <c r="G32" s="49">
        <v>30</v>
      </c>
      <c r="H32" s="49">
        <v>3</v>
      </c>
      <c r="I32" s="49">
        <v>0</v>
      </c>
      <c r="J32" s="49">
        <v>0</v>
      </c>
      <c r="K32" s="25">
        <f>(H32*5)+(I32*9)+(J32*18)+G32</f>
        <v>45</v>
      </c>
      <c r="L32" s="24">
        <f>(G32*5)+(H32*15)+(I32*30)+(J32*70)+F32</f>
        <v>195</v>
      </c>
      <c r="M32" s="17" t="str" cm="1">
        <f t="array" ref="M32">_xlfn.IFS(A32="5lvl2",IF(K32&gt;=35,"No debe",35-K32), A32="5lvl1",IF(L32&gt;=35,"No debe",35-L32))</f>
        <v>No debe</v>
      </c>
      <c r="N32" s="8"/>
    </row>
    <row r="33" spans="1:14" x14ac:dyDescent="0.25">
      <c r="A33" s="11" t="str">
        <f>IF(ISERROR(VLOOKUP(C33,'Caza lvl 1'!A:A,1,0)),"5lvl2","5lvl1")</f>
        <v>5lvl2</v>
      </c>
      <c r="B33" s="16" t="str">
        <f>_xlfn.IFS(A33 = "5lvl2",IF(K33&gt;=35,"Cumplio", "No cumplio"),A33 = "5lvl1",IF(L33&gt;= 35,"Cumplio","No cumplio"))</f>
        <v>Cumplio</v>
      </c>
      <c r="C33" s="48">
        <v>1467795273</v>
      </c>
      <c r="D33" s="48" t="s">
        <v>38</v>
      </c>
      <c r="E33" s="28">
        <f>SUM(F33:J33)</f>
        <v>13</v>
      </c>
      <c r="F33" s="49">
        <v>0</v>
      </c>
      <c r="G33" s="49">
        <v>5</v>
      </c>
      <c r="H33" s="49">
        <v>8</v>
      </c>
      <c r="I33" s="49">
        <v>0</v>
      </c>
      <c r="J33" s="49">
        <v>0</v>
      </c>
      <c r="K33" s="25">
        <f>(H33*5)+(I33*9)+(J33*18)+G33</f>
        <v>45</v>
      </c>
      <c r="L33" s="24">
        <f>(G33*5)+(H33*15)+(I33*30)+(J33*70)+F33</f>
        <v>145</v>
      </c>
      <c r="M33" s="17" t="str" cm="1">
        <f t="array" ref="M33">_xlfn.IFS(A33="5lvl2",IF(K33&gt;=35,"No debe",35-K33), A33="5lvl1",IF(L33&gt;=35,"No debe",35-L33))</f>
        <v>No debe</v>
      </c>
      <c r="N33" s="8"/>
    </row>
    <row r="34" spans="1:14" x14ac:dyDescent="0.25">
      <c r="A34" s="11" t="str">
        <f>IF(ISERROR(VLOOKUP(C34,'Caza lvl 1'!A:A,1,0)),"5lvl2","5lvl1")</f>
        <v>5lvl2</v>
      </c>
      <c r="B34" s="16" t="str">
        <f>_xlfn.IFS(A34 = "5lvl2",IF(K34&gt;=35,"Cumplio", "No cumplio"),A34 = "5lvl1",IF(L34&gt;= 35,"Cumplio","No cumplio"))</f>
        <v>Cumplio</v>
      </c>
      <c r="C34" s="48">
        <v>1806182451</v>
      </c>
      <c r="D34" s="48" t="s">
        <v>40</v>
      </c>
      <c r="E34" s="28">
        <f>SUM(F34:J34)</f>
        <v>33</v>
      </c>
      <c r="F34" s="49">
        <v>0</v>
      </c>
      <c r="G34" s="49">
        <v>31</v>
      </c>
      <c r="H34" s="49">
        <v>1</v>
      </c>
      <c r="I34" s="49">
        <v>1</v>
      </c>
      <c r="J34" s="49">
        <v>0</v>
      </c>
      <c r="K34" s="25">
        <f>(H34*5)+(I34*9)+(J34*18)+G34</f>
        <v>45</v>
      </c>
      <c r="L34" s="24">
        <f>(G34*5)+(H34*15)+(I34*30)+(J34*70)+F34</f>
        <v>200</v>
      </c>
      <c r="M34" s="17" t="str" cm="1">
        <f t="array" ref="M34">_xlfn.IFS(A34="5lvl2",IF(K34&gt;=35,"No debe",35-K34), A34="5lvl1",IF(L34&gt;=35,"No debe",35-L34))</f>
        <v>No debe</v>
      </c>
      <c r="N34" s="8"/>
    </row>
    <row r="35" spans="1:14" x14ac:dyDescent="0.25">
      <c r="A35" s="11" t="str">
        <f>IF(ISERROR(VLOOKUP(C35,'Caza lvl 1'!A:A,1,0)),"5lvl2","5lvl1")</f>
        <v>5lvl2</v>
      </c>
      <c r="B35" s="16" t="str">
        <f>_xlfn.IFS(A35 = "5lvl2",IF(K35&gt;=35,"Cumplio", "No cumplio"),A35 = "5lvl1",IF(L35&gt;= 35,"Cumplio","No cumplio"))</f>
        <v>Cumplio</v>
      </c>
      <c r="C35" s="48">
        <v>357402771</v>
      </c>
      <c r="D35" s="48" t="s">
        <v>27</v>
      </c>
      <c r="E35" s="28">
        <f>SUM(F35:J35)</f>
        <v>26</v>
      </c>
      <c r="F35" s="49">
        <v>0</v>
      </c>
      <c r="G35" s="49">
        <v>23</v>
      </c>
      <c r="H35" s="49">
        <v>2</v>
      </c>
      <c r="I35" s="49">
        <v>1</v>
      </c>
      <c r="J35" s="49">
        <v>0</v>
      </c>
      <c r="K35" s="25">
        <f>(H35*5)+(I35*9)+(J35*18)+G35</f>
        <v>42</v>
      </c>
      <c r="L35" s="24">
        <f>(G35*5)+(H35*15)+(I35*30)+(J35*70)+F35</f>
        <v>175</v>
      </c>
      <c r="M35" s="17" t="str" cm="1">
        <f t="array" ref="M35">_xlfn.IFS(A35="5lvl2",IF(K35&gt;=35,"No debe",35-K35), A35="5lvl1",IF(L35&gt;=35,"No debe",35-L35))</f>
        <v>No debe</v>
      </c>
      <c r="N35" s="8"/>
    </row>
    <row r="36" spans="1:14" x14ac:dyDescent="0.25">
      <c r="A36" s="11" t="str">
        <f>IF(ISERROR(VLOOKUP(C36,'Caza lvl 1'!A:A,1,0)),"5lvl2","5lvl1")</f>
        <v>5lvl2</v>
      </c>
      <c r="B36" s="16" t="str">
        <f>_xlfn.IFS(A36 = "5lvl2",IF(K36&gt;=35,"Cumplio", "No cumplio"),A36 = "5lvl1",IF(L36&gt;= 35,"Cumplio","No cumplio"))</f>
        <v>Cumplio</v>
      </c>
      <c r="C36" s="48">
        <v>368989323</v>
      </c>
      <c r="D36" s="48" t="s">
        <v>30</v>
      </c>
      <c r="E36" s="28">
        <f>SUM(F36:J36)</f>
        <v>26</v>
      </c>
      <c r="F36" s="49">
        <v>0</v>
      </c>
      <c r="G36" s="49">
        <v>23</v>
      </c>
      <c r="H36" s="49">
        <v>2</v>
      </c>
      <c r="I36" s="49">
        <v>1</v>
      </c>
      <c r="J36" s="49">
        <v>0</v>
      </c>
      <c r="K36" s="25">
        <f>(H36*5)+(I36*9)+(J36*18)+G36</f>
        <v>42</v>
      </c>
      <c r="L36" s="24">
        <f>(G36*5)+(H36*15)+(I36*30)+(J36*70)+F36</f>
        <v>175</v>
      </c>
      <c r="M36" s="17" t="str" cm="1">
        <f t="array" ref="M36">_xlfn.IFS(A36="5lvl2",IF(K36&gt;=35,"No debe",35-K36), A36="5lvl1",IF(L36&gt;=35,"No debe",35-L36))</f>
        <v>No debe</v>
      </c>
      <c r="N36" s="8"/>
    </row>
    <row r="37" spans="1:14" x14ac:dyDescent="0.25">
      <c r="A37" s="11" t="str">
        <f>IF(ISERROR(VLOOKUP(C37,'Caza lvl 1'!A:A,1,0)),"5lvl2","5lvl1")</f>
        <v>5lvl2</v>
      </c>
      <c r="B37" s="16" t="str">
        <f>_xlfn.IFS(A37 = "5lvl2",IF(K37&gt;=35,"Cumplio", "No cumplio"),A37 = "5lvl1",IF(L37&gt;= 35,"Cumplio","No cumplio"))</f>
        <v>Cumplio</v>
      </c>
      <c r="C37" s="48">
        <v>471968668</v>
      </c>
      <c r="D37" s="48" t="s">
        <v>176</v>
      </c>
      <c r="E37" s="28">
        <f>SUM(F37:J37)</f>
        <v>24</v>
      </c>
      <c r="F37" s="49">
        <v>0</v>
      </c>
      <c r="G37" s="49">
        <v>21</v>
      </c>
      <c r="H37" s="49">
        <v>2</v>
      </c>
      <c r="I37" s="49">
        <v>1</v>
      </c>
      <c r="J37" s="49">
        <v>0</v>
      </c>
      <c r="K37" s="25">
        <f>(H37*5)+(I37*9)+(J37*18)+G37</f>
        <v>40</v>
      </c>
      <c r="L37" s="24">
        <f>(G37*5)+(H37*15)+(I37*30)+(J37*70)+F37</f>
        <v>165</v>
      </c>
      <c r="M37" s="17" t="str" cm="1">
        <f t="array" ref="M37">_xlfn.IFS(A37="5lvl2",IF(K37&gt;=35,"No debe",35-K37), A37="5lvl1",IF(L37&gt;=35,"No debe",35-L37))</f>
        <v>No debe</v>
      </c>
      <c r="N37" s="8"/>
    </row>
    <row r="38" spans="1:14" x14ac:dyDescent="0.25">
      <c r="A38" s="11" t="str">
        <f>IF(ISERROR(VLOOKUP(C38,'Caza lvl 1'!A:A,1,0)),"5lvl2","5lvl1")</f>
        <v>5lvl2</v>
      </c>
      <c r="B38" s="16" t="str">
        <f>_xlfn.IFS(A38 = "5lvl2",IF(K38&gt;=35,"Cumplio", "No cumplio"),A38 = "5lvl1",IF(L38&gt;= 35,"Cumplio","No cumplio"))</f>
        <v>Cumplio</v>
      </c>
      <c r="C38" s="48">
        <v>821134729</v>
      </c>
      <c r="D38" s="48" t="s">
        <v>153</v>
      </c>
      <c r="E38" s="28">
        <f>SUM(F38:J38)</f>
        <v>36</v>
      </c>
      <c r="F38" s="49">
        <v>0</v>
      </c>
      <c r="G38" s="49">
        <v>35</v>
      </c>
      <c r="H38" s="49">
        <v>1</v>
      </c>
      <c r="I38" s="49">
        <v>0</v>
      </c>
      <c r="J38" s="49">
        <v>0</v>
      </c>
      <c r="K38" s="25">
        <f>(H38*5)+(I38*9)+(J38*18)+G38</f>
        <v>40</v>
      </c>
      <c r="L38" s="24">
        <f>(G38*5)+(H38*15)+(I38*30)+(J38*70)+F38</f>
        <v>190</v>
      </c>
      <c r="M38" s="17" t="str" cm="1">
        <f t="array" ref="M38">_xlfn.IFS(A38="5lvl2",IF(K38&gt;=35,"No debe",35-K38), A38="5lvl1",IF(L38&gt;=35,"No debe",35-L38))</f>
        <v>No debe</v>
      </c>
      <c r="N38" s="8"/>
    </row>
    <row r="39" spans="1:14" x14ac:dyDescent="0.25">
      <c r="A39" s="11" t="str">
        <f>IF(ISERROR(VLOOKUP(C39,'Caza lvl 1'!A:A,1,0)),"5lvl2","5lvl1")</f>
        <v>5lvl2</v>
      </c>
      <c r="B39" s="16" t="str">
        <f>_xlfn.IFS(A39 = "5lvl2",IF(K39&gt;=35,"Cumplio", "No cumplio"),A39 = "5lvl1",IF(L39&gt;= 35,"Cumplio","No cumplio"))</f>
        <v>Cumplio</v>
      </c>
      <c r="C39" s="48">
        <v>416845218</v>
      </c>
      <c r="D39" s="48" t="s">
        <v>29</v>
      </c>
      <c r="E39" s="28">
        <f>SUM(F39:J39)</f>
        <v>23</v>
      </c>
      <c r="F39" s="49">
        <v>0</v>
      </c>
      <c r="G39" s="49">
        <v>20</v>
      </c>
      <c r="H39" s="49">
        <v>2</v>
      </c>
      <c r="I39" s="49">
        <v>1</v>
      </c>
      <c r="J39" s="49">
        <v>0</v>
      </c>
      <c r="K39" s="25">
        <f>(H39*5)+(I39*9)+(J39*18)+G39</f>
        <v>39</v>
      </c>
      <c r="L39" s="24">
        <f>(G39*5)+(H39*15)+(I39*30)+(J39*70)+F39</f>
        <v>160</v>
      </c>
      <c r="M39" s="17" t="str" cm="1">
        <f t="array" ref="M39">_xlfn.IFS(A39="5lvl2",IF(K39&gt;=35,"No debe",35-K39), A39="5lvl1",IF(L39&gt;=35,"No debe",35-L39))</f>
        <v>No debe</v>
      </c>
      <c r="N39" s="8"/>
    </row>
    <row r="40" spans="1:14" x14ac:dyDescent="0.25">
      <c r="A40" s="11" t="str">
        <f>IF(ISERROR(VLOOKUP(C40,'Caza lvl 1'!A:A,1,0)),"5lvl2","5lvl1")</f>
        <v>5lvl2</v>
      </c>
      <c r="B40" s="16" t="str">
        <f>_xlfn.IFS(A40 = "5lvl2",IF(K40&gt;=35,"Cumplio", "No cumplio"),A40 = "5lvl1",IF(L40&gt;= 35,"Cumplio","No cumplio"))</f>
        <v>Cumplio</v>
      </c>
      <c r="C40" s="48">
        <v>658843231</v>
      </c>
      <c r="D40" s="48" t="s">
        <v>74</v>
      </c>
      <c r="E40" s="28">
        <f>SUM(F40:J40)</f>
        <v>7</v>
      </c>
      <c r="F40" s="49">
        <v>0</v>
      </c>
      <c r="G40" s="49">
        <v>0</v>
      </c>
      <c r="H40" s="49">
        <v>6</v>
      </c>
      <c r="I40" s="49">
        <v>1</v>
      </c>
      <c r="J40" s="49">
        <v>0</v>
      </c>
      <c r="K40" s="25">
        <f>(H40*5)+(I40*9)+(J40*18)+G40</f>
        <v>39</v>
      </c>
      <c r="L40" s="24">
        <f>(G40*5)+(H40*15)+(I40*30)+(J40*70)+F40</f>
        <v>120</v>
      </c>
      <c r="M40" s="17" t="str" cm="1">
        <f t="array" ref="M40">_xlfn.IFS(A40="5lvl2",IF(K40&gt;=35,"No debe",35-K40), A40="5lvl1",IF(L40&gt;=35,"No debe",35-L40))</f>
        <v>No debe</v>
      </c>
      <c r="N40" s="8"/>
    </row>
    <row r="41" spans="1:14" x14ac:dyDescent="0.25">
      <c r="A41" s="11" t="str">
        <f>IF(ISERROR(VLOOKUP(C41,'Caza lvl 1'!A:A,1,0)),"5lvl2","5lvl1")</f>
        <v>5lvl2</v>
      </c>
      <c r="B41" s="16" t="str">
        <f>_xlfn.IFS(A41 = "5lvl2",IF(K41&gt;=35,"Cumplio", "No cumplio"),A41 = "5lvl1",IF(L41&gt;= 35,"Cumplio","No cumplio"))</f>
        <v>Cumplio</v>
      </c>
      <c r="C41" s="48">
        <v>989087967</v>
      </c>
      <c r="D41" s="48" t="s">
        <v>162</v>
      </c>
      <c r="E41" s="28">
        <f>SUM(F41:J41)</f>
        <v>11</v>
      </c>
      <c r="F41" s="49">
        <v>0</v>
      </c>
      <c r="G41" s="49">
        <v>4</v>
      </c>
      <c r="H41" s="49">
        <v>7</v>
      </c>
      <c r="I41" s="49">
        <v>0</v>
      </c>
      <c r="J41" s="49">
        <v>0</v>
      </c>
      <c r="K41" s="25">
        <f>(H41*5)+(I41*9)+(J41*18)+G41</f>
        <v>39</v>
      </c>
      <c r="L41" s="24">
        <f>(G41*5)+(H41*15)+(I41*30)+(J41*70)+F41</f>
        <v>125</v>
      </c>
      <c r="M41" s="17" t="str" cm="1">
        <f t="array" ref="M41">_xlfn.IFS(A41="5lvl2",IF(K41&gt;=35,"No debe",35-K41), A41="5lvl1",IF(L41&gt;=35,"No debe",35-L41))</f>
        <v>No debe</v>
      </c>
      <c r="N41" s="8"/>
    </row>
    <row r="42" spans="1:14" x14ac:dyDescent="0.25">
      <c r="A42" s="11" t="str">
        <f>IF(ISERROR(VLOOKUP(C42,'Caza lvl 1'!A:A,1,0)),"5lvl2","5lvl1")</f>
        <v>5lvl2</v>
      </c>
      <c r="B42" s="16" t="str">
        <f>_xlfn.IFS(A42 = "5lvl2",IF(K42&gt;=35,"Cumplio", "No cumplio"),A42 = "5lvl1",IF(L42&gt;= 35,"Cumplio","No cumplio"))</f>
        <v>Cumplio</v>
      </c>
      <c r="C42" s="48">
        <v>613063847</v>
      </c>
      <c r="D42" s="48" t="s">
        <v>101</v>
      </c>
      <c r="E42" s="28">
        <f>SUM(F42:J42)</f>
        <v>18</v>
      </c>
      <c r="F42" s="49">
        <v>0</v>
      </c>
      <c r="G42" s="49">
        <v>14</v>
      </c>
      <c r="H42" s="49">
        <v>3</v>
      </c>
      <c r="I42" s="49">
        <v>1</v>
      </c>
      <c r="J42" s="49">
        <v>0</v>
      </c>
      <c r="K42" s="25">
        <f>(H42*5)+(I42*9)+(J42*18)+G42</f>
        <v>38</v>
      </c>
      <c r="L42" s="24">
        <f>(G42*5)+(H42*15)+(I42*30)+(J42*70)+F42</f>
        <v>145</v>
      </c>
      <c r="M42" s="17" t="str" cm="1">
        <f t="array" ref="M42">_xlfn.IFS(A42="5lvl2",IF(K42&gt;=35,"No debe",35-K42), A42="5lvl1",IF(L42&gt;=35,"No debe",35-L42))</f>
        <v>No debe</v>
      </c>
      <c r="N42" s="8"/>
    </row>
    <row r="43" spans="1:14" x14ac:dyDescent="0.25">
      <c r="A43" s="11" t="str">
        <f>IF(ISERROR(VLOOKUP(C43,'Caza lvl 1'!A:A,1,0)),"5lvl2","5lvl1")</f>
        <v>5lvl2</v>
      </c>
      <c r="B43" s="16" t="str">
        <f>_xlfn.IFS(A43 = "5lvl2",IF(K43&gt;=35,"Cumplio", "No cumplio"),A43 = "5lvl1",IF(L43&gt;= 35,"Cumplio","No cumplio"))</f>
        <v>Cumplio</v>
      </c>
      <c r="C43" s="48">
        <v>919665444</v>
      </c>
      <c r="D43" s="48" t="s">
        <v>180</v>
      </c>
      <c r="E43" s="28">
        <f>SUM(F43:J43)</f>
        <v>34</v>
      </c>
      <c r="F43" s="49">
        <v>0</v>
      </c>
      <c r="G43" s="49">
        <v>33</v>
      </c>
      <c r="H43" s="49">
        <v>1</v>
      </c>
      <c r="I43" s="49">
        <v>0</v>
      </c>
      <c r="J43" s="49">
        <v>0</v>
      </c>
      <c r="K43" s="25">
        <f>(H43*5)+(I43*9)+(J43*18)+G43</f>
        <v>38</v>
      </c>
      <c r="L43" s="24">
        <f>(G43*5)+(H43*15)+(I43*30)+(J43*70)+F43</f>
        <v>180</v>
      </c>
      <c r="M43" s="17" t="str" cm="1">
        <f t="array" ref="M43">_xlfn.IFS(A43="5lvl2",IF(K43&gt;=35,"No debe",35-K43), A43="5lvl1",IF(L43&gt;=35,"No debe",35-L43))</f>
        <v>No debe</v>
      </c>
      <c r="N43" s="8"/>
    </row>
    <row r="44" spans="1:14" x14ac:dyDescent="0.25">
      <c r="A44" s="11" t="str">
        <f>IF(ISERROR(VLOOKUP(C44,'Caza lvl 1'!A:A,1,0)),"5lvl2","5lvl1")</f>
        <v>5lvl2</v>
      </c>
      <c r="B44" s="16" t="str">
        <f>_xlfn.IFS(A44 = "5lvl2",IF(K44&gt;=35,"Cumplio", "No cumplio"),A44 = "5lvl1",IF(L44&gt;= 35,"Cumplio","No cumplio"))</f>
        <v>Cumplio</v>
      </c>
      <c r="C44" s="48">
        <v>1294894373</v>
      </c>
      <c r="D44" s="48" t="s">
        <v>163</v>
      </c>
      <c r="E44" s="28">
        <f>SUM(F44:J44)</f>
        <v>10</v>
      </c>
      <c r="F44" s="49">
        <v>0</v>
      </c>
      <c r="G44" s="49">
        <v>3</v>
      </c>
      <c r="H44" s="49">
        <v>7</v>
      </c>
      <c r="I44" s="49">
        <v>0</v>
      </c>
      <c r="J44" s="49">
        <v>0</v>
      </c>
      <c r="K44" s="25">
        <f>(H44*5)+(I44*9)+(J44*18)+G44</f>
        <v>38</v>
      </c>
      <c r="L44" s="24">
        <f>(G44*5)+(H44*15)+(I44*30)+(J44*70)+F44</f>
        <v>120</v>
      </c>
      <c r="M44" s="17" t="str" cm="1">
        <f t="array" ref="M44">_xlfn.IFS(A44="5lvl2",IF(K44&gt;=35,"No debe",35-K44), A44="5lvl1",IF(L44&gt;=35,"No debe",35-L44))</f>
        <v>No debe</v>
      </c>
      <c r="N44" s="8"/>
    </row>
    <row r="45" spans="1:14" x14ac:dyDescent="0.25">
      <c r="A45" s="11" t="str">
        <f>IF(ISERROR(VLOOKUP(C45,'Caza lvl 1'!A:A,1,0)),"5lvl2","5lvl1")</f>
        <v>5lvl2</v>
      </c>
      <c r="B45" s="16" t="str">
        <f>_xlfn.IFS(A45 = "5lvl2",IF(K45&gt;=35,"Cumplio", "No cumplio"),A45 = "5lvl1",IF(L45&gt;= 35,"Cumplio","No cumplio"))</f>
        <v>Cumplio</v>
      </c>
      <c r="C45" s="48">
        <v>940947273</v>
      </c>
      <c r="D45" s="48" t="s">
        <v>166</v>
      </c>
      <c r="E45" s="28">
        <f>SUM(F45:J45)</f>
        <v>21</v>
      </c>
      <c r="F45" s="49">
        <v>0</v>
      </c>
      <c r="G45" s="49">
        <v>17</v>
      </c>
      <c r="H45" s="49">
        <v>4</v>
      </c>
      <c r="I45" s="49">
        <v>0</v>
      </c>
      <c r="J45" s="49">
        <v>0</v>
      </c>
      <c r="K45" s="25">
        <f>(H45*5)+(I45*9)+(J45*18)+G45</f>
        <v>37</v>
      </c>
      <c r="L45" s="24">
        <f>(G45*5)+(H45*15)+(I45*30)+(J45*70)+F45</f>
        <v>145</v>
      </c>
      <c r="M45" s="17" t="str" cm="1">
        <f t="array" ref="M45">_xlfn.IFS(A45="5lvl2",IF(K45&gt;=35,"No debe",35-K45), A45="5lvl1",IF(L45&gt;=35,"No debe",35-L45))</f>
        <v>No debe</v>
      </c>
      <c r="N45" s="8"/>
    </row>
    <row r="46" spans="1:14" x14ac:dyDescent="0.25">
      <c r="A46" s="11" t="str">
        <f>IF(ISERROR(VLOOKUP(C46,'Caza lvl 1'!A:A,1,0)),"5lvl2","5lvl1")</f>
        <v>5lvl2</v>
      </c>
      <c r="B46" s="16" t="str">
        <f>_xlfn.IFS(A46 = "5lvl2",IF(K46&gt;=35,"Cumplio", "No cumplio"),A46 = "5lvl1",IF(L46&gt;= 35,"Cumplio","No cumplio"))</f>
        <v>Cumplio</v>
      </c>
      <c r="C46" s="48">
        <v>1036786251</v>
      </c>
      <c r="D46" s="48" t="s">
        <v>117</v>
      </c>
      <c r="E46" s="28">
        <f>SUM(F46:J46)</f>
        <v>16</v>
      </c>
      <c r="F46" s="49">
        <v>0</v>
      </c>
      <c r="G46" s="49">
        <v>11</v>
      </c>
      <c r="H46" s="49">
        <v>5</v>
      </c>
      <c r="I46" s="49">
        <v>0</v>
      </c>
      <c r="J46" s="49">
        <v>0</v>
      </c>
      <c r="K46" s="25">
        <f>(H46*5)+(I46*9)+(J46*18)+G46</f>
        <v>36</v>
      </c>
      <c r="L46" s="24">
        <f>(G46*5)+(H46*15)+(I46*30)+(J46*70)+F46</f>
        <v>130</v>
      </c>
      <c r="M46" s="17" t="str" cm="1">
        <f t="array" ref="M46">_xlfn.IFS(A46="5lvl2",IF(K46&gt;=35,"No debe",35-K46), A46="5lvl1",IF(L46&gt;=35,"No debe",35-L46))</f>
        <v>No debe</v>
      </c>
      <c r="N46" s="8"/>
    </row>
    <row r="47" spans="1:14" x14ac:dyDescent="0.25">
      <c r="A47" s="11" t="str">
        <f>IF(ISERROR(VLOOKUP(C47,'Caza lvl 1'!A:A,1,0)),"5lvl2","5lvl1")</f>
        <v>5lvl2</v>
      </c>
      <c r="B47" s="16" t="str">
        <f>_xlfn.IFS(A47 = "5lvl2",IF(K47&gt;=35,"Cumplio", "No cumplio"),A47 = "5lvl1",IF(L47&gt;= 35,"Cumplio","No cumplio"))</f>
        <v>Cumplio</v>
      </c>
      <c r="C47" s="48">
        <v>611721390</v>
      </c>
      <c r="D47" s="48" t="s">
        <v>89</v>
      </c>
      <c r="E47" s="28">
        <f>SUM(F47:J47)</f>
        <v>28</v>
      </c>
      <c r="F47" s="49">
        <v>0</v>
      </c>
      <c r="G47" s="49">
        <v>26</v>
      </c>
      <c r="H47" s="49">
        <v>2</v>
      </c>
      <c r="I47" s="49">
        <v>0</v>
      </c>
      <c r="J47" s="49">
        <v>0</v>
      </c>
      <c r="K47" s="25">
        <f>(H47*5)+(I47*9)+(J47*18)+G47</f>
        <v>36</v>
      </c>
      <c r="L47" s="24">
        <f>(G47*5)+(H47*15)+(I47*30)+(J47*70)+F47</f>
        <v>160</v>
      </c>
      <c r="M47" s="17" t="str" cm="1">
        <f t="array" ref="M47">_xlfn.IFS(A47="5lvl2",IF(K47&gt;=35,"No debe",35-K47), A47="5lvl1",IF(L47&gt;=35,"No debe",35-L47))</f>
        <v>No debe</v>
      </c>
      <c r="N47" s="8"/>
    </row>
    <row r="48" spans="1:14" x14ac:dyDescent="0.25">
      <c r="A48" s="11" t="str">
        <f>IF(ISERROR(VLOOKUP(C48,'Caza lvl 1'!A:A,1,0)),"5lvl2","5lvl1")</f>
        <v>5lvl2</v>
      </c>
      <c r="B48" s="16" t="str">
        <f>_xlfn.IFS(A48 = "5lvl2",IF(K48&gt;=35,"Cumplio", "No cumplio"),A48 = "5lvl1",IF(L48&gt;= 35,"Cumplio","No cumplio"))</f>
        <v>Cumplio</v>
      </c>
      <c r="C48" s="48">
        <v>566390589</v>
      </c>
      <c r="D48" s="48" t="s">
        <v>102</v>
      </c>
      <c r="E48" s="28">
        <f>SUM(F48:J48)</f>
        <v>32</v>
      </c>
      <c r="F48" s="49">
        <v>0</v>
      </c>
      <c r="G48" s="49">
        <v>31</v>
      </c>
      <c r="H48" s="49">
        <v>1</v>
      </c>
      <c r="I48" s="49">
        <v>0</v>
      </c>
      <c r="J48" s="49">
        <v>0</v>
      </c>
      <c r="K48" s="25">
        <f>(H48*5)+(I48*9)+(J48*18)+G48</f>
        <v>36</v>
      </c>
      <c r="L48" s="24">
        <f>(G48*5)+(H48*15)+(I48*30)+(J48*70)+F48</f>
        <v>170</v>
      </c>
      <c r="M48" s="17" t="str" cm="1">
        <f t="array" ref="M48">_xlfn.IFS(A48="5lvl2",IF(K48&gt;=35,"No debe",35-K48), A48="5lvl1",IF(L48&gt;=35,"No debe",35-L48))</f>
        <v>No debe</v>
      </c>
      <c r="N48" s="8"/>
    </row>
    <row r="49" spans="1:14" x14ac:dyDescent="0.25">
      <c r="A49" s="11" t="str">
        <f>IF(ISERROR(VLOOKUP(C49,'Caza lvl 1'!A:A,1,0)),"5lvl2","5lvl1")</f>
        <v>5lvl2</v>
      </c>
      <c r="B49" s="16" t="str">
        <f>_xlfn.IFS(A49 = "5lvl2",IF(K49&gt;=35,"Cumplio", "No cumplio"),A49 = "5lvl1",IF(L49&gt;= 35,"Cumplio","No cumplio"))</f>
        <v>Cumplio</v>
      </c>
      <c r="C49" s="48">
        <v>346561690</v>
      </c>
      <c r="D49" s="48" t="s">
        <v>24</v>
      </c>
      <c r="E49" s="28">
        <f>SUM(F49:J49)</f>
        <v>12</v>
      </c>
      <c r="F49" s="49">
        <v>0</v>
      </c>
      <c r="G49" s="49">
        <v>9</v>
      </c>
      <c r="H49" s="49">
        <v>0</v>
      </c>
      <c r="I49" s="49">
        <v>3</v>
      </c>
      <c r="J49" s="49">
        <v>0</v>
      </c>
      <c r="K49" s="25">
        <f>(H49*5)+(I49*9)+(J49*18)+G49</f>
        <v>36</v>
      </c>
      <c r="L49" s="24">
        <f>(G49*5)+(H49*15)+(I49*30)+(J49*70)+F49</f>
        <v>135</v>
      </c>
      <c r="M49" s="17" t="str" cm="1">
        <f t="array" ref="M49">_xlfn.IFS(A49="5lvl2",IF(K49&gt;=35,"No debe",35-K49), A49="5lvl1",IF(L49&gt;=35,"No debe",35-L49))</f>
        <v>No debe</v>
      </c>
      <c r="N49" s="8"/>
    </row>
    <row r="50" spans="1:14" x14ac:dyDescent="0.25">
      <c r="A50" s="11" t="str">
        <f>IF(ISERROR(VLOOKUP(C50,'Caza lvl 1'!A:A,1,0)),"5lvl2","5lvl1")</f>
        <v>5lvl2</v>
      </c>
      <c r="B50" s="16" t="str">
        <f>_xlfn.IFS(A50 = "5lvl2",IF(K50&gt;=35,"Cumplio", "No cumplio"),A50 = "5lvl1",IF(L50&gt;= 35,"Cumplio","No cumplio"))</f>
        <v>Cumplio</v>
      </c>
      <c r="C50" s="48">
        <v>545632943</v>
      </c>
      <c r="D50" s="48" t="s">
        <v>169</v>
      </c>
      <c r="E50" s="28">
        <f>SUM(F50:J50)</f>
        <v>12</v>
      </c>
      <c r="F50" s="49">
        <v>0</v>
      </c>
      <c r="G50" s="49">
        <v>6</v>
      </c>
      <c r="H50" s="49">
        <v>6</v>
      </c>
      <c r="I50" s="49">
        <v>0</v>
      </c>
      <c r="J50" s="49">
        <v>0</v>
      </c>
      <c r="K50" s="25">
        <f>(H50*5)+(I50*9)+(J50*18)+G50</f>
        <v>36</v>
      </c>
      <c r="L50" s="24">
        <f>(G50*5)+(H50*15)+(I50*30)+(J50*70)+F50</f>
        <v>120</v>
      </c>
      <c r="M50" s="17" t="str" cm="1">
        <f t="array" ref="M50">_xlfn.IFS(A50="5lvl2",IF(K50&gt;=35,"No debe",35-K50), A50="5lvl1",IF(L50&gt;=35,"No debe",35-L50))</f>
        <v>No debe</v>
      </c>
      <c r="N50" s="8"/>
    </row>
    <row r="51" spans="1:14" x14ac:dyDescent="0.25">
      <c r="A51" s="11" t="str">
        <f>IF(ISERROR(VLOOKUP(C51,'Caza lvl 1'!A:A,1,0)),"5lvl2","5lvl1")</f>
        <v>5lvl2</v>
      </c>
      <c r="B51" s="16" t="str">
        <f>_xlfn.IFS(A51 = "5lvl2",IF(K51&gt;=35,"Cumplio", "No cumplio"),A51 = "5lvl1",IF(L51&gt;= 35,"Cumplio","No cumplio"))</f>
        <v>Cumplio</v>
      </c>
      <c r="C51" s="48">
        <v>1041405085</v>
      </c>
      <c r="D51" s="48" t="s">
        <v>128</v>
      </c>
      <c r="E51" s="28">
        <f>SUM(F51:J51)</f>
        <v>24</v>
      </c>
      <c r="F51" s="49">
        <v>0</v>
      </c>
      <c r="G51" s="49">
        <v>21</v>
      </c>
      <c r="H51" s="49">
        <v>3</v>
      </c>
      <c r="I51" s="49">
        <v>0</v>
      </c>
      <c r="J51" s="49">
        <v>0</v>
      </c>
      <c r="K51" s="25">
        <f>(H51*5)+(I51*9)+(J51*18)+G51</f>
        <v>36</v>
      </c>
      <c r="L51" s="24">
        <f>(G51*5)+(H51*15)+(I51*30)+(J51*70)+F51</f>
        <v>150</v>
      </c>
      <c r="M51" s="17" t="str" cm="1">
        <f t="array" ref="M51">_xlfn.IFS(A51="5lvl2",IF(K51&gt;=35,"No debe",35-K51), A51="5lvl1",IF(L51&gt;=35,"No debe",35-L51))</f>
        <v>No debe</v>
      </c>
      <c r="N51" s="8"/>
    </row>
    <row r="52" spans="1:14" x14ac:dyDescent="0.25">
      <c r="A52" s="11" t="str">
        <f>IF(ISERROR(VLOOKUP(C52,'Caza lvl 1'!A:A,1,0)),"5lvl2","5lvl1")</f>
        <v>5lvl2</v>
      </c>
      <c r="B52" s="16" t="str">
        <f>_xlfn.IFS(A52 = "5lvl2",IF(K52&gt;=35,"Cumplio", "No cumplio"),A52 = "5lvl1",IF(L52&gt;= 35,"Cumplio","No cumplio"))</f>
        <v>Cumplio</v>
      </c>
      <c r="C52" s="48">
        <v>1268142112</v>
      </c>
      <c r="D52" s="48" t="s">
        <v>42</v>
      </c>
      <c r="E52" s="28">
        <f>SUM(F52:J52)</f>
        <v>28</v>
      </c>
      <c r="F52" s="49">
        <v>0</v>
      </c>
      <c r="G52" s="49">
        <v>26</v>
      </c>
      <c r="H52" s="49">
        <v>2</v>
      </c>
      <c r="I52" s="49">
        <v>0</v>
      </c>
      <c r="J52" s="49">
        <v>0</v>
      </c>
      <c r="K52" s="25">
        <f>(H52*5)+(I52*9)+(J52*18)+G52</f>
        <v>36</v>
      </c>
      <c r="L52" s="24">
        <f>(G52*5)+(H52*15)+(I52*30)+(J52*70)+F52</f>
        <v>160</v>
      </c>
      <c r="M52" s="17" t="str" cm="1">
        <f t="array" ref="M52">_xlfn.IFS(A52="5lvl2",IF(K52&gt;=35,"No debe",35-K52), A52="5lvl1",IF(L52&gt;=35,"No debe",35-L52))</f>
        <v>No debe</v>
      </c>
      <c r="N52" s="8"/>
    </row>
    <row r="53" spans="1:14" x14ac:dyDescent="0.25">
      <c r="A53" s="11" t="str">
        <f>IF(ISERROR(VLOOKUP(C53,'Caza lvl 1'!A:A,1,0)),"5lvl2","5lvl1")</f>
        <v>5lvl2</v>
      </c>
      <c r="B53" s="16" t="str">
        <f>_xlfn.IFS(A53 = "5lvl2",IF(K53&gt;=35,"Cumplio", "No cumplio"),A53 = "5lvl1",IF(L53&gt;= 35,"Cumplio","No cumplio"))</f>
        <v>Cumplio</v>
      </c>
      <c r="C53" s="48">
        <v>916473485</v>
      </c>
      <c r="D53" s="48" t="s">
        <v>103</v>
      </c>
      <c r="E53" s="28">
        <f>SUM(F53:J53)</f>
        <v>20</v>
      </c>
      <c r="F53" s="49">
        <v>0</v>
      </c>
      <c r="G53" s="49">
        <v>16</v>
      </c>
      <c r="H53" s="49">
        <v>4</v>
      </c>
      <c r="I53" s="49">
        <v>0</v>
      </c>
      <c r="J53" s="49">
        <v>0</v>
      </c>
      <c r="K53" s="25">
        <f>(H53*5)+(I53*9)+(J53*18)+G53</f>
        <v>36</v>
      </c>
      <c r="L53" s="24">
        <f>(G53*5)+(H53*15)+(I53*30)+(J53*70)+F53</f>
        <v>140</v>
      </c>
      <c r="M53" s="17" t="str" cm="1">
        <f t="array" ref="M53">_xlfn.IFS(A53="5lvl2",IF(K53&gt;=35,"No debe",35-K53), A53="5lvl1",IF(L53&gt;=35,"No debe",35-L53))</f>
        <v>No debe</v>
      </c>
      <c r="N53" s="8"/>
    </row>
    <row r="54" spans="1:14" x14ac:dyDescent="0.25">
      <c r="A54" s="11" t="str">
        <f>IF(ISERROR(VLOOKUP(C54,'Caza lvl 1'!A:A,1,0)),"5lvl2","5lvl1")</f>
        <v>5lvl2</v>
      </c>
      <c r="B54" s="16" t="str">
        <f>_xlfn.IFS(A54 = "5lvl2",IF(K54&gt;=35,"Cumplio", "No cumplio"),A54 = "5lvl1",IF(L54&gt;= 35,"Cumplio","No cumplio"))</f>
        <v>Cumplio</v>
      </c>
      <c r="C54" s="48">
        <v>1919512898</v>
      </c>
      <c r="D54" s="48" t="s">
        <v>182</v>
      </c>
      <c r="E54" s="28">
        <f>SUM(F54:J54)</f>
        <v>28</v>
      </c>
      <c r="F54" s="49">
        <v>0</v>
      </c>
      <c r="G54" s="49">
        <v>26</v>
      </c>
      <c r="H54" s="49">
        <v>2</v>
      </c>
      <c r="I54" s="49">
        <v>0</v>
      </c>
      <c r="J54" s="49">
        <v>0</v>
      </c>
      <c r="K54" s="25">
        <f>(H54*5)+(I54*9)+(J54*18)+G54</f>
        <v>36</v>
      </c>
      <c r="L54" s="24">
        <f>(G54*5)+(H54*15)+(I54*30)+(J54*70)+F54</f>
        <v>160</v>
      </c>
      <c r="M54" s="17" t="str" cm="1">
        <f t="array" ref="M54">_xlfn.IFS(A54="5lvl2",IF(K54&gt;=35,"No debe",35-K54), A54="5lvl1",IF(L54&gt;=35,"No debe",35-L54))</f>
        <v>No debe</v>
      </c>
      <c r="N54" s="8"/>
    </row>
    <row r="55" spans="1:14" x14ac:dyDescent="0.25">
      <c r="A55" s="11" t="str">
        <f>IF(ISERROR(VLOOKUP(C55,'Caza lvl 1'!A:A,1,0)),"5lvl2","5lvl1")</f>
        <v>5lvl2</v>
      </c>
      <c r="B55" s="16" t="str">
        <f>_xlfn.IFS(A55 = "5lvl2",IF(K55&gt;=35,"Cumplio", "No cumplio"),A55 = "5lvl1",IF(L55&gt;= 35,"Cumplio","No cumplio"))</f>
        <v>Cumplio</v>
      </c>
      <c r="C55" s="48">
        <v>701806212</v>
      </c>
      <c r="D55" s="48" t="s">
        <v>114</v>
      </c>
      <c r="E55" s="28">
        <f>SUM(F55:J55)</f>
        <v>20</v>
      </c>
      <c r="F55" s="49">
        <v>0</v>
      </c>
      <c r="G55" s="49">
        <v>17</v>
      </c>
      <c r="H55" s="49">
        <v>2</v>
      </c>
      <c r="I55" s="49">
        <v>1</v>
      </c>
      <c r="J55" s="49">
        <v>0</v>
      </c>
      <c r="K55" s="25">
        <f>(H55*5)+(I55*9)+(J55*18)+G55</f>
        <v>36</v>
      </c>
      <c r="L55" s="24">
        <f>(G55*5)+(H55*15)+(I55*30)+(J55*70)+F55</f>
        <v>145</v>
      </c>
      <c r="M55" s="17" t="str" cm="1">
        <f t="array" ref="M55">_xlfn.IFS(A55="5lvl2",IF(K55&gt;=35,"No debe",35-K55), A55="5lvl1",IF(L55&gt;=35,"No debe",35-L55))</f>
        <v>No debe</v>
      </c>
      <c r="N55" s="8"/>
    </row>
    <row r="56" spans="1:14" x14ac:dyDescent="0.25">
      <c r="A56" s="11" t="str">
        <f>IF(ISERROR(VLOOKUP(C56,'Caza lvl 1'!A:A,1,0)),"5lvl2","5lvl1")</f>
        <v>5lvl2</v>
      </c>
      <c r="B56" s="16" t="str">
        <f>_xlfn.IFS(A56 = "5lvl2",IF(K56&gt;=35,"Cumplio", "No cumplio"),A56 = "5lvl1",IF(L56&gt;= 35,"Cumplio","No cumplio"))</f>
        <v>Cumplio</v>
      </c>
      <c r="C56" s="48">
        <v>625607335</v>
      </c>
      <c r="D56" s="48" t="s">
        <v>168</v>
      </c>
      <c r="E56" s="28">
        <f>SUM(F56:J56)</f>
        <v>31</v>
      </c>
      <c r="F56" s="49">
        <v>0</v>
      </c>
      <c r="G56" s="49">
        <v>30</v>
      </c>
      <c r="H56" s="49">
        <v>1</v>
      </c>
      <c r="I56" s="49">
        <v>0</v>
      </c>
      <c r="J56" s="49">
        <v>0</v>
      </c>
      <c r="K56" s="25">
        <f>(H56*5)+(I56*9)+(J56*18)+G56</f>
        <v>35</v>
      </c>
      <c r="L56" s="24">
        <f>(G56*5)+(H56*15)+(I56*30)+(J56*70)+F56</f>
        <v>165</v>
      </c>
      <c r="M56" s="17" t="str" cm="1">
        <f t="array" ref="M56">_xlfn.IFS(A56="5lvl2",IF(K56&gt;=35,"No debe",35-K56), A56="5lvl1",IF(L56&gt;=35,"No debe",35-L56))</f>
        <v>No debe</v>
      </c>
      <c r="N56" s="8"/>
    </row>
    <row r="57" spans="1:14" x14ac:dyDescent="0.25">
      <c r="A57" s="11" t="str">
        <f>IF(ISERROR(VLOOKUP(C57,'Caza lvl 1'!A:A,1,0)),"5lvl2","5lvl1")</f>
        <v>5lvl2</v>
      </c>
      <c r="B57" s="16" t="str">
        <f>_xlfn.IFS(A57 = "5lvl2",IF(K57&gt;=35,"Cumplio", "No cumplio"),A57 = "5lvl1",IF(L57&gt;= 35,"Cumplio","No cumplio"))</f>
        <v>Cumplio</v>
      </c>
      <c r="C57" s="48">
        <v>334846462</v>
      </c>
      <c r="D57" s="48" t="s">
        <v>158</v>
      </c>
      <c r="E57" s="28">
        <f>SUM(F57:J57)</f>
        <v>35</v>
      </c>
      <c r="F57" s="49">
        <v>0</v>
      </c>
      <c r="G57" s="49">
        <v>35</v>
      </c>
      <c r="H57" s="49">
        <v>0</v>
      </c>
      <c r="I57" s="49">
        <v>0</v>
      </c>
      <c r="J57" s="49">
        <v>0</v>
      </c>
      <c r="K57" s="25">
        <f>(H57*5)+(I57*9)+(J57*18)+G57</f>
        <v>35</v>
      </c>
      <c r="L57" s="24">
        <f>(G57*5)+(H57*15)+(I57*30)+(J57*70)+F57</f>
        <v>175</v>
      </c>
      <c r="M57" s="17" t="str" cm="1">
        <f t="array" ref="M57">_xlfn.IFS(A57="5lvl2",IF(K57&gt;=35,"No debe",35-K57), A57="5lvl1",IF(L57&gt;=35,"No debe",35-L57))</f>
        <v>No debe</v>
      </c>
      <c r="N57" s="8"/>
    </row>
    <row r="58" spans="1:14" x14ac:dyDescent="0.25">
      <c r="A58" s="11" t="str">
        <f>IF(ISERROR(VLOOKUP(C58,'Caza lvl 1'!A:A,1,0)),"5lvl2","5lvl1")</f>
        <v>5lvl2</v>
      </c>
      <c r="B58" s="16" t="str">
        <f>_xlfn.IFS(A58 = "5lvl2",IF(K58&gt;=35,"Cumplio", "No cumplio"),A58 = "5lvl1",IF(L58&gt;= 35,"Cumplio","No cumplio"))</f>
        <v>Cumplio</v>
      </c>
      <c r="C58" s="48">
        <v>365438142</v>
      </c>
      <c r="D58" s="48" t="s">
        <v>25</v>
      </c>
      <c r="E58" s="28">
        <f>SUM(F58:J58)</f>
        <v>11</v>
      </c>
      <c r="F58" s="49">
        <v>0</v>
      </c>
      <c r="G58" s="49">
        <v>8</v>
      </c>
      <c r="H58" s="49">
        <v>0</v>
      </c>
      <c r="I58" s="49">
        <v>3</v>
      </c>
      <c r="J58" s="49">
        <v>0</v>
      </c>
      <c r="K58" s="25">
        <f>(H58*5)+(I58*9)+(J58*18)+G58</f>
        <v>35</v>
      </c>
      <c r="L58" s="24">
        <f>(G58*5)+(H58*15)+(I58*30)+(J58*70)+F58</f>
        <v>130</v>
      </c>
      <c r="M58" s="17" t="str" cm="1">
        <f t="array" ref="M58">_xlfn.IFS(A58="5lvl2",IF(K58&gt;=35,"No debe",35-K58), A58="5lvl1",IF(L58&gt;=35,"No debe",35-L58))</f>
        <v>No debe</v>
      </c>
      <c r="N58" s="8"/>
    </row>
    <row r="59" spans="1:14" x14ac:dyDescent="0.25">
      <c r="A59" s="11" t="str">
        <f>IF(ISERROR(VLOOKUP(C59,'Caza lvl 1'!A:A,1,0)),"5lvl2","5lvl1")</f>
        <v>5lvl2</v>
      </c>
      <c r="B59" s="16" t="str">
        <f>_xlfn.IFS(A59 = "5lvl2",IF(K59&gt;=35,"Cumplio", "No cumplio"),A59 = "5lvl1",IF(L59&gt;= 35,"Cumplio","No cumplio"))</f>
        <v>Cumplio</v>
      </c>
      <c r="C59" s="48">
        <v>326455645</v>
      </c>
      <c r="D59" s="48" t="s">
        <v>26</v>
      </c>
      <c r="E59" s="28">
        <f>SUM(F59:J59)</f>
        <v>35</v>
      </c>
      <c r="F59" s="49">
        <v>0</v>
      </c>
      <c r="G59" s="49">
        <v>35</v>
      </c>
      <c r="H59" s="49">
        <v>0</v>
      </c>
      <c r="I59" s="49">
        <v>0</v>
      </c>
      <c r="J59" s="49">
        <v>0</v>
      </c>
      <c r="K59" s="25">
        <f>(H59*5)+(I59*9)+(J59*18)+G59</f>
        <v>35</v>
      </c>
      <c r="L59" s="24">
        <f>(G59*5)+(H59*15)+(I59*30)+(J59*70)+F59</f>
        <v>175</v>
      </c>
      <c r="M59" s="17" t="str" cm="1">
        <f t="array" ref="M59">_xlfn.IFS(A59="5lvl2",IF(K59&gt;=35,"No debe",35-K59), A59="5lvl1",IF(L59&gt;=35,"No debe",35-L59))</f>
        <v>No debe</v>
      </c>
      <c r="N59" s="8"/>
    </row>
    <row r="60" spans="1:14" x14ac:dyDescent="0.25">
      <c r="A60" s="11" t="str">
        <f>IF(ISERROR(VLOOKUP(C60,'Caza lvl 1'!A:A,1,0)),"5lvl2","5lvl1")</f>
        <v>5lvl2</v>
      </c>
      <c r="B60" s="16" t="str">
        <f>_xlfn.IFS(A60 = "5lvl2",IF(K60&gt;=35,"Cumplio", "No cumplio"),A60 = "5lvl1",IF(L60&gt;= 35,"Cumplio","No cumplio"))</f>
        <v>Cumplio</v>
      </c>
      <c r="C60" s="48">
        <v>747071768</v>
      </c>
      <c r="D60" s="48" t="s">
        <v>112</v>
      </c>
      <c r="E60" s="28">
        <f>SUM(F60:J60)</f>
        <v>35</v>
      </c>
      <c r="F60" s="49">
        <v>0</v>
      </c>
      <c r="G60" s="49">
        <v>35</v>
      </c>
      <c r="H60" s="49">
        <v>0</v>
      </c>
      <c r="I60" s="49">
        <v>0</v>
      </c>
      <c r="J60" s="49">
        <v>0</v>
      </c>
      <c r="K60" s="25">
        <f>(H60*5)+(I60*9)+(J60*18)+G60</f>
        <v>35</v>
      </c>
      <c r="L60" s="24">
        <f>(G60*5)+(H60*15)+(I60*30)+(J60*70)+F60</f>
        <v>175</v>
      </c>
      <c r="M60" s="17" t="str" cm="1">
        <f t="array" ref="M60">_xlfn.IFS(A60="5lvl2",IF(K60&gt;=35,"No debe",35-K60), A60="5lvl1",IF(L60&gt;=35,"No debe",35-L60))</f>
        <v>No debe</v>
      </c>
      <c r="N60" s="8"/>
    </row>
    <row r="61" spans="1:14" x14ac:dyDescent="0.25">
      <c r="A61" s="11" t="str">
        <f>IF(ISERROR(VLOOKUP(C61,'Caza lvl 1'!A:A,1,0)),"5lvl2","5lvl1")</f>
        <v>5lvl2</v>
      </c>
      <c r="B61" s="16" t="str">
        <f>_xlfn.IFS(A61 = "5lvl2",IF(K61&gt;=35,"Cumplio", "No cumplio"),A61 = "5lvl1",IF(L61&gt;= 35,"Cumplio","No cumplio"))</f>
        <v>Cumplio</v>
      </c>
      <c r="C61" s="48">
        <v>866932727</v>
      </c>
      <c r="D61" s="48" t="s">
        <v>181</v>
      </c>
      <c r="E61" s="28">
        <f>SUM(F61:J61)</f>
        <v>20</v>
      </c>
      <c r="F61" s="49">
        <v>1</v>
      </c>
      <c r="G61" s="49">
        <v>15</v>
      </c>
      <c r="H61" s="49">
        <v>4</v>
      </c>
      <c r="I61" s="49">
        <v>0</v>
      </c>
      <c r="J61" s="49">
        <v>0</v>
      </c>
      <c r="K61" s="25">
        <f>(H61*5)+(I61*9)+(J61*18)+G61</f>
        <v>35</v>
      </c>
      <c r="L61" s="24">
        <f>(G61*5)+(H61*15)+(I61*30)+(J61*70)+F61</f>
        <v>136</v>
      </c>
      <c r="M61" s="17" t="str" cm="1">
        <f t="array" ref="M61">_xlfn.IFS(A61="5lvl2",IF(K61&gt;=35,"No debe",35-K61), A61="5lvl1",IF(L61&gt;=35,"No debe",35-L61))</f>
        <v>No debe</v>
      </c>
      <c r="N61" s="8"/>
    </row>
    <row r="62" spans="1:14" x14ac:dyDescent="0.25">
      <c r="A62" s="11" t="str">
        <f>IF(ISERROR(VLOOKUP(C62,'Caza lvl 1'!A:A,1,0)),"5lvl2","5lvl1")</f>
        <v>5lvl2</v>
      </c>
      <c r="B62" s="16" t="str">
        <f>_xlfn.IFS(A62 = "5lvl2",IF(K62&gt;=35,"Cumplio", "No cumplio"),A62 = "5lvl1",IF(L62&gt;= 35,"Cumplio","No cumplio"))</f>
        <v>Cumplio</v>
      </c>
      <c r="C62" s="48">
        <v>997405085</v>
      </c>
      <c r="D62" s="48" t="s">
        <v>161</v>
      </c>
      <c r="E62" s="28">
        <f>SUM(F62:J62)</f>
        <v>36</v>
      </c>
      <c r="F62" s="49">
        <v>1</v>
      </c>
      <c r="G62" s="49">
        <v>35</v>
      </c>
      <c r="H62" s="49">
        <v>0</v>
      </c>
      <c r="I62" s="49">
        <v>0</v>
      </c>
      <c r="J62" s="49">
        <v>0</v>
      </c>
      <c r="K62" s="25">
        <f>(H62*5)+(I62*9)+(J62*18)+G62</f>
        <v>35</v>
      </c>
      <c r="L62" s="24">
        <f>(G62*5)+(H62*15)+(I62*30)+(J62*70)+F62</f>
        <v>176</v>
      </c>
      <c r="M62" s="17" t="str" cm="1">
        <f t="array" ref="M62">_xlfn.IFS(A62="5lvl2",IF(K62&gt;=35,"No debe",35-K62), A62="5lvl1",IF(L62&gt;=35,"No debe",35-L62))</f>
        <v>No debe</v>
      </c>
      <c r="N62" s="8"/>
    </row>
    <row r="63" spans="1:14" x14ac:dyDescent="0.25">
      <c r="A63" s="11" t="str">
        <f>IF(ISERROR(VLOOKUP(C63,'Caza lvl 1'!A:A,1,0)),"5lvl2","5lvl1")</f>
        <v>5lvl2</v>
      </c>
      <c r="B63" s="16" t="str">
        <f>_xlfn.IFS(A63 = "5lvl2",IF(K63&gt;=35,"Cumplio", "No cumplio"),A63 = "5lvl1",IF(L63&gt;= 35,"Cumplio","No cumplio"))</f>
        <v>Cumplio</v>
      </c>
      <c r="C63" s="48">
        <v>1041170254</v>
      </c>
      <c r="D63" s="48" t="s">
        <v>135</v>
      </c>
      <c r="E63" s="28">
        <f>SUM(F63:J63)</f>
        <v>7</v>
      </c>
      <c r="F63" s="49">
        <v>0</v>
      </c>
      <c r="G63" s="49">
        <v>0</v>
      </c>
      <c r="H63" s="49">
        <v>7</v>
      </c>
      <c r="I63" s="49">
        <v>0</v>
      </c>
      <c r="J63" s="49">
        <v>0</v>
      </c>
      <c r="K63" s="25">
        <f>(H63*5)+(I63*9)+(J63*18)+G63</f>
        <v>35</v>
      </c>
      <c r="L63" s="24">
        <f>(G63*5)+(H63*15)+(I63*30)+(J63*70)+F63</f>
        <v>105</v>
      </c>
      <c r="M63" s="17" t="str" cm="1">
        <f t="array" ref="M63">_xlfn.IFS(A63="5lvl2",IF(K63&gt;=35,"No debe",35-K63), A63="5lvl1",IF(L63&gt;=35,"No debe",35-L63))</f>
        <v>No debe</v>
      </c>
      <c r="N63" s="8"/>
    </row>
    <row r="64" spans="1:14" x14ac:dyDescent="0.25">
      <c r="A64" s="11" t="str">
        <f>IF(ISERROR(VLOOKUP(C64,'Caza lvl 1'!A:A,1,0)),"5lvl2","5lvl1")</f>
        <v>5lvl2</v>
      </c>
      <c r="B64" s="16" t="str">
        <f>_xlfn.IFS(A64 = "5lvl2",IF(K64&gt;=35,"Cumplio", "No cumplio"),A64 = "5lvl1",IF(L64&gt;= 35,"Cumplio","No cumplio"))</f>
        <v>Cumplio</v>
      </c>
      <c r="C64" s="48">
        <v>973732352</v>
      </c>
      <c r="D64" s="48" t="s">
        <v>65</v>
      </c>
      <c r="E64" s="28">
        <f>SUM(F64:J64)</f>
        <v>19</v>
      </c>
      <c r="F64" s="49">
        <v>0</v>
      </c>
      <c r="G64" s="49">
        <v>16</v>
      </c>
      <c r="H64" s="49">
        <v>2</v>
      </c>
      <c r="I64" s="49">
        <v>1</v>
      </c>
      <c r="J64" s="49">
        <v>0</v>
      </c>
      <c r="K64" s="25">
        <f>(H64*5)+(I64*9)+(J64*18)+G64</f>
        <v>35</v>
      </c>
      <c r="L64" s="24">
        <f>(G64*5)+(H64*15)+(I64*30)+(J64*70)+F64</f>
        <v>140</v>
      </c>
      <c r="M64" s="17" t="str" cm="1">
        <f t="array" ref="M64">_xlfn.IFS(A64="5lvl2",IF(K64&gt;=35,"No debe",35-K64), A64="5lvl1",IF(L64&gt;=35,"No debe",35-L64))</f>
        <v>No debe</v>
      </c>
      <c r="N64" s="8"/>
    </row>
    <row r="65" spans="1:14" x14ac:dyDescent="0.25">
      <c r="A65" s="11" t="str">
        <f>IF(ISERROR(VLOOKUP(C65,'Caza lvl 1'!A:A,1,0)),"5lvl2","5lvl1")</f>
        <v>5lvl2</v>
      </c>
      <c r="B65" s="16" t="str">
        <f>_xlfn.IFS(A65 = "5lvl2",IF(K65&gt;=35,"Cumplio", "No cumplio"),A65 = "5lvl1",IF(L65&gt;= 35,"Cumplio","No cumplio"))</f>
        <v>Cumplio</v>
      </c>
      <c r="C65" s="48">
        <v>869080899</v>
      </c>
      <c r="D65" s="48" t="s">
        <v>93</v>
      </c>
      <c r="E65" s="28">
        <f>SUM(F65:J65)</f>
        <v>19</v>
      </c>
      <c r="F65" s="49">
        <v>0</v>
      </c>
      <c r="G65" s="49">
        <v>15</v>
      </c>
      <c r="H65" s="49">
        <v>4</v>
      </c>
      <c r="I65" s="49">
        <v>0</v>
      </c>
      <c r="J65" s="49">
        <v>0</v>
      </c>
      <c r="K65" s="25">
        <f>(H65*5)+(I65*9)+(J65*18)+G65</f>
        <v>35</v>
      </c>
      <c r="L65" s="24">
        <f>(G65*5)+(H65*15)+(I65*30)+(J65*70)+F65</f>
        <v>135</v>
      </c>
      <c r="M65" s="17" t="str" cm="1">
        <f t="array" ref="M65">_xlfn.IFS(A65="5lvl2",IF(K65&gt;=35,"No debe",35-K65), A65="5lvl1",IF(L65&gt;=35,"No debe",35-L65))</f>
        <v>No debe</v>
      </c>
      <c r="N65" s="8"/>
    </row>
    <row r="66" spans="1:14" x14ac:dyDescent="0.25">
      <c r="A66" s="11" t="str">
        <f>IF(ISERROR(VLOOKUP(C66,'Caza lvl 1'!A:A,1,0)),"5lvl2","5lvl1")</f>
        <v>5lvl2</v>
      </c>
      <c r="B66" s="16" t="str">
        <f>_xlfn.IFS(A66 = "5lvl2",IF(K66&gt;=35,"Cumplio", "No cumplio"),A66 = "5lvl1",IF(L66&gt;= 35,"Cumplio","No cumplio"))</f>
        <v>Cumplio</v>
      </c>
      <c r="C66" s="48">
        <v>1915163097</v>
      </c>
      <c r="D66" s="48" t="s">
        <v>78</v>
      </c>
      <c r="E66" s="28">
        <f>SUM(F66:J66)</f>
        <v>35</v>
      </c>
      <c r="F66" s="49">
        <v>0</v>
      </c>
      <c r="G66" s="49">
        <v>35</v>
      </c>
      <c r="H66" s="49">
        <v>0</v>
      </c>
      <c r="I66" s="49">
        <v>0</v>
      </c>
      <c r="J66" s="49">
        <v>0</v>
      </c>
      <c r="K66" s="25">
        <f>(H66*5)+(I66*9)+(J66*18)+G66</f>
        <v>35</v>
      </c>
      <c r="L66" s="24">
        <f>(G66*5)+(H66*15)+(I66*30)+(J66*70)+F66</f>
        <v>175</v>
      </c>
      <c r="M66" s="17" t="str" cm="1">
        <f t="array" ref="M66">_xlfn.IFS(A66="5lvl2",IF(K66&gt;=35,"No debe",35-K66), A66="5lvl1",IF(L66&gt;=35,"No debe",35-L66))</f>
        <v>No debe</v>
      </c>
      <c r="N66" s="8"/>
    </row>
    <row r="67" spans="1:14" x14ac:dyDescent="0.25">
      <c r="A67" s="11" t="str">
        <f>IF(ISERROR(VLOOKUP(C67,'Caza lvl 1'!A:A,1,0)),"5lvl2","5lvl1")</f>
        <v>5lvl2</v>
      </c>
      <c r="B67" s="16" t="str">
        <f>_xlfn.IFS(A67 = "5lvl2",IF(K67&gt;=35,"Cumplio", "No cumplio"),A67 = "5lvl1",IF(L67&gt;= 35,"Cumplio","No cumplio"))</f>
        <v>Cumplio</v>
      </c>
      <c r="C67" s="48">
        <v>651360013</v>
      </c>
      <c r="D67" s="48" t="s">
        <v>170</v>
      </c>
      <c r="E67" s="28">
        <f>SUM(F67:J67)</f>
        <v>19</v>
      </c>
      <c r="F67" s="49">
        <v>0</v>
      </c>
      <c r="G67" s="49">
        <v>15</v>
      </c>
      <c r="H67" s="49">
        <v>4</v>
      </c>
      <c r="I67" s="49">
        <v>0</v>
      </c>
      <c r="J67" s="49">
        <v>0</v>
      </c>
      <c r="K67" s="25">
        <f>(H67*5)+(I67*9)+(J67*18)+G67</f>
        <v>35</v>
      </c>
      <c r="L67" s="24">
        <f>(G67*5)+(H67*15)+(I67*30)+(J67*70)+F67</f>
        <v>135</v>
      </c>
      <c r="M67" s="17" t="str" cm="1">
        <f t="array" ref="M67">_xlfn.IFS(A67="5lvl2",IF(K67&gt;=35,"No debe",35-K67), A67="5lvl1",IF(L67&gt;=35,"No debe",35-L67))</f>
        <v>No debe</v>
      </c>
      <c r="N67" s="8"/>
    </row>
    <row r="68" spans="1:14" x14ac:dyDescent="0.25">
      <c r="A68" s="11" t="str">
        <f>IF(ISERROR(VLOOKUP(C68,'Caza lvl 1'!A:A,1,0)),"5lvl2","5lvl1")</f>
        <v>5lvl2</v>
      </c>
      <c r="B68" s="16" t="str">
        <f>_xlfn.IFS(A68 = "5lvl2",IF(K68&gt;=35,"Cumplio", "No cumplio"),A68 = "5lvl1",IF(L68&gt;= 35,"Cumplio","No cumplio"))</f>
        <v>Cumplio</v>
      </c>
      <c r="C68" s="48">
        <v>829026210</v>
      </c>
      <c r="D68" s="48" t="s">
        <v>100</v>
      </c>
      <c r="E68" s="28">
        <f>SUM(F68:J68)</f>
        <v>35</v>
      </c>
      <c r="F68" s="49">
        <v>0</v>
      </c>
      <c r="G68" s="49">
        <v>35</v>
      </c>
      <c r="H68" s="49">
        <v>0</v>
      </c>
      <c r="I68" s="49">
        <v>0</v>
      </c>
      <c r="J68" s="49">
        <v>0</v>
      </c>
      <c r="K68" s="25">
        <f>(H68*5)+(I68*9)+(J68*18)+G68</f>
        <v>35</v>
      </c>
      <c r="L68" s="24">
        <f>(G68*5)+(H68*15)+(I68*30)+(J68*70)+F68</f>
        <v>175</v>
      </c>
      <c r="M68" s="17" t="str" cm="1">
        <f t="array" ref="M68">_xlfn.IFS(A68="5lvl2",IF(K68&gt;=35,"No debe",35-K68), A68="5lvl1",IF(L68&gt;=35,"No debe",35-L68))</f>
        <v>No debe</v>
      </c>
      <c r="N68" s="8"/>
    </row>
    <row r="69" spans="1:14" x14ac:dyDescent="0.25">
      <c r="A69" s="11" t="str">
        <f>IF(ISERROR(VLOOKUP(C69,'Caza lvl 1'!A:A,1,0)),"5lvl2","5lvl1")</f>
        <v>5lvl2</v>
      </c>
      <c r="B69" s="16" t="str">
        <f>_xlfn.IFS(A69 = "5lvl2",IF(K69&gt;=35,"Cumplio", "No cumplio"),A69 = "5lvl1",IF(L69&gt;= 35,"Cumplio","No cumplio"))</f>
        <v>Cumplio</v>
      </c>
      <c r="C69" s="48">
        <v>1923743214</v>
      </c>
      <c r="D69" s="48" t="s">
        <v>83</v>
      </c>
      <c r="E69" s="28">
        <f>SUM(F69:J69)</f>
        <v>35</v>
      </c>
      <c r="F69" s="49">
        <v>0</v>
      </c>
      <c r="G69" s="49">
        <v>35</v>
      </c>
      <c r="H69" s="49">
        <v>0</v>
      </c>
      <c r="I69" s="49">
        <v>0</v>
      </c>
      <c r="J69" s="49">
        <v>0</v>
      </c>
      <c r="K69" s="25">
        <f>(H69*5)+(I69*9)+(J69*18)+G69</f>
        <v>35</v>
      </c>
      <c r="L69" s="24">
        <f>(G69*5)+(H69*15)+(I69*30)+(J69*70)+F69</f>
        <v>175</v>
      </c>
      <c r="M69" s="17" t="str" cm="1">
        <f t="array" ref="M69">_xlfn.IFS(A69="5lvl2",IF(K69&gt;=35,"No debe",35-K69), A69="5lvl1",IF(L69&gt;=35,"No debe",35-L69))</f>
        <v>No debe</v>
      </c>
      <c r="N69" s="8"/>
    </row>
    <row r="70" spans="1:14" x14ac:dyDescent="0.25">
      <c r="A70" s="11" t="str">
        <f>IF(ISERROR(VLOOKUP(C70,'Caza lvl 1'!A:A,1,0)),"5lvl2","5lvl1")</f>
        <v>5lvl2</v>
      </c>
      <c r="B70" s="16" t="str">
        <f>_xlfn.IFS(A70 = "5lvl2",IF(K70&gt;=35,"Cumplio", "No cumplio"),A70 = "5lvl1",IF(L70&gt;= 35,"Cumplio","No cumplio"))</f>
        <v>Cumplio</v>
      </c>
      <c r="C70" s="48">
        <v>1913187635</v>
      </c>
      <c r="D70" s="48" t="s">
        <v>84</v>
      </c>
      <c r="E70" s="28">
        <f>SUM(F70:J70)</f>
        <v>31</v>
      </c>
      <c r="F70" s="49">
        <v>0</v>
      </c>
      <c r="G70" s="49">
        <v>30</v>
      </c>
      <c r="H70" s="49">
        <v>1</v>
      </c>
      <c r="I70" s="49">
        <v>0</v>
      </c>
      <c r="J70" s="49">
        <v>0</v>
      </c>
      <c r="K70" s="25">
        <f>(H70*5)+(I70*9)+(J70*18)+G70</f>
        <v>35</v>
      </c>
      <c r="L70" s="24">
        <f>(G70*5)+(H70*15)+(I70*30)+(J70*70)+F70</f>
        <v>165</v>
      </c>
      <c r="M70" s="17" t="str" cm="1">
        <f t="array" ref="M70">_xlfn.IFS(A70="5lvl2",IF(K70&gt;=35,"No debe",35-K70), A70="5lvl1",IF(L70&gt;=35,"No debe",35-L70))</f>
        <v>No debe</v>
      </c>
      <c r="N70" s="8"/>
    </row>
    <row r="71" spans="1:14" x14ac:dyDescent="0.25">
      <c r="A71" s="11" t="str">
        <f>IF(ISERROR(VLOOKUP(C71,'Caza lvl 1'!A:A,1,0)),"5lvl2","5lvl1")</f>
        <v>5lvl2</v>
      </c>
      <c r="B71" s="16" t="str">
        <f>_xlfn.IFS(A71 = "5lvl2",IF(K71&gt;=35,"Cumplio", "No cumplio"),A71 = "5lvl1",IF(L71&gt;= 35,"Cumplio","No cumplio"))</f>
        <v>Cumplio</v>
      </c>
      <c r="C71" s="48">
        <v>777343597</v>
      </c>
      <c r="D71" s="48" t="s">
        <v>113</v>
      </c>
      <c r="E71" s="28">
        <f>SUM(F71:J71)</f>
        <v>27</v>
      </c>
      <c r="F71" s="49">
        <v>0</v>
      </c>
      <c r="G71" s="49">
        <v>25</v>
      </c>
      <c r="H71" s="49">
        <v>2</v>
      </c>
      <c r="I71" s="49">
        <v>0</v>
      </c>
      <c r="J71" s="49">
        <v>0</v>
      </c>
      <c r="K71" s="25">
        <f>(H71*5)+(I71*9)+(J71*18)+G71</f>
        <v>35</v>
      </c>
      <c r="L71" s="24">
        <f>(G71*5)+(H71*15)+(I71*30)+(J71*70)+F71</f>
        <v>155</v>
      </c>
      <c r="M71" s="17" t="str" cm="1">
        <f t="array" ref="M71">_xlfn.IFS(A71="5lvl2",IF(K71&gt;=35,"No debe",35-K71), A71="5lvl1",IF(L71&gt;=35,"No debe",35-L71))</f>
        <v>No debe</v>
      </c>
      <c r="N71" s="8"/>
    </row>
    <row r="72" spans="1:14" x14ac:dyDescent="0.25">
      <c r="A72" s="11" t="str">
        <f>IF(ISERROR(VLOOKUP(C72,'Caza lvl 1'!A:A,1,0)),"5lvl2","5lvl1")</f>
        <v>5lvl2</v>
      </c>
      <c r="B72" s="16" t="str">
        <f>_xlfn.IFS(A72 = "5lvl2",IF(K72&gt;=35,"Cumplio", "No cumplio"),A72 = "5lvl1",IF(L72&gt;= 35,"Cumplio","No cumplio"))</f>
        <v>Cumplio</v>
      </c>
      <c r="C72" s="48">
        <v>1917368618</v>
      </c>
      <c r="D72" s="48" t="s">
        <v>39</v>
      </c>
      <c r="E72" s="28">
        <f>SUM(F72:J72)</f>
        <v>35</v>
      </c>
      <c r="F72" s="49">
        <v>0</v>
      </c>
      <c r="G72" s="49">
        <v>35</v>
      </c>
      <c r="H72" s="49">
        <v>0</v>
      </c>
      <c r="I72" s="49">
        <v>0</v>
      </c>
      <c r="J72" s="49">
        <v>0</v>
      </c>
      <c r="K72" s="25">
        <f>(H72*5)+(I72*9)+(J72*18)+G72</f>
        <v>35</v>
      </c>
      <c r="L72" s="24">
        <f>(G72*5)+(H72*15)+(I72*30)+(J72*70)+F72</f>
        <v>175</v>
      </c>
      <c r="M72" s="17" t="str" cm="1">
        <f t="array" ref="M72">_xlfn.IFS(A72="5lvl2",IF(K72&gt;=35,"No debe",35-K72), A72="5lvl1",IF(L72&gt;=35,"No debe",35-L72))</f>
        <v>No debe</v>
      </c>
      <c r="N72" s="8"/>
    </row>
    <row r="73" spans="1:14" x14ac:dyDescent="0.25">
      <c r="A73" s="11" t="str">
        <f>IF(ISERROR(VLOOKUP(C73,'Caza lvl 1'!A:A,1,0)),"5lvl2","5lvl1")</f>
        <v>5lvl2</v>
      </c>
      <c r="B73" s="16" t="str">
        <f>_xlfn.IFS(A73 = "5lvl2",IF(K73&gt;=35,"Cumplio", "No cumplio"),A73 = "5lvl1",IF(L73&gt;= 35,"Cumplio","No cumplio"))</f>
        <v>Cumplio</v>
      </c>
      <c r="C73" s="48">
        <v>1698596813</v>
      </c>
      <c r="D73" s="48" t="s">
        <v>130</v>
      </c>
      <c r="E73" s="28">
        <f>SUM(F73:J73)</f>
        <v>31</v>
      </c>
      <c r="F73" s="49">
        <v>0</v>
      </c>
      <c r="G73" s="49">
        <v>30</v>
      </c>
      <c r="H73" s="49">
        <v>1</v>
      </c>
      <c r="I73" s="49">
        <v>0</v>
      </c>
      <c r="J73" s="49">
        <v>0</v>
      </c>
      <c r="K73" s="25">
        <f>(H73*5)+(I73*9)+(J73*18)+G73</f>
        <v>35</v>
      </c>
      <c r="L73" s="24">
        <f>(G73*5)+(H73*15)+(I73*30)+(J73*70)+F73</f>
        <v>165</v>
      </c>
      <c r="M73" s="17" t="str" cm="1">
        <f t="array" ref="M73">_xlfn.IFS(A73="5lvl2",IF(K73&gt;=35,"No debe",35-K73), A73="5lvl1",IF(L73&gt;=35,"No debe",35-L73))</f>
        <v>No debe</v>
      </c>
      <c r="N73" s="8"/>
    </row>
    <row r="74" spans="1:14" x14ac:dyDescent="0.25">
      <c r="A74" s="11" t="str">
        <f>IF(ISERROR(VLOOKUP(C74,'Caza lvl 1'!A:A,1,0)),"5lvl2","5lvl1")</f>
        <v>5lvl2</v>
      </c>
      <c r="B74" s="16" t="str">
        <f>_xlfn.IFS(A74 = "5lvl2",IF(K74&gt;=35,"Cumplio", "No cumplio"),A74 = "5lvl1",IF(L74&gt;= 35,"Cumplio","No cumplio"))</f>
        <v>Cumplio</v>
      </c>
      <c r="C74" s="48">
        <v>735092980</v>
      </c>
      <c r="D74" s="48" t="s">
        <v>120</v>
      </c>
      <c r="E74" s="28">
        <f>SUM(F74:J74)</f>
        <v>7</v>
      </c>
      <c r="F74" s="49">
        <v>0</v>
      </c>
      <c r="G74" s="49">
        <v>0</v>
      </c>
      <c r="H74" s="49">
        <v>7</v>
      </c>
      <c r="I74" s="49">
        <v>0</v>
      </c>
      <c r="J74" s="49">
        <v>0</v>
      </c>
      <c r="K74" s="25">
        <f>(H74*5)+(I74*9)+(J74*18)+G74</f>
        <v>35</v>
      </c>
      <c r="L74" s="24">
        <f>(G74*5)+(H74*15)+(I74*30)+(J74*70)+F74</f>
        <v>105</v>
      </c>
      <c r="M74" s="17" t="str" cm="1">
        <f t="array" ref="M74">_xlfn.IFS(A74="5lvl2",IF(K74&gt;=35,"No debe",35-K74), A74="5lvl1",IF(L74&gt;=35,"No debe",35-L74))</f>
        <v>No debe</v>
      </c>
      <c r="N74" s="8"/>
    </row>
    <row r="75" spans="1:14" x14ac:dyDescent="0.25">
      <c r="A75" s="11" t="str">
        <f>IF(ISERROR(VLOOKUP(C75,'Caza lvl 1'!A:A,1,0)),"5lvl2","5lvl1")</f>
        <v>5lvl2</v>
      </c>
      <c r="B75" s="16" t="str">
        <f>_xlfn.IFS(A75 = "5lvl2",IF(K75&gt;=35,"Cumplio", "No cumplio"),A75 = "5lvl1",IF(L75&gt;= 35,"Cumplio","No cumplio"))</f>
        <v>Cumplio</v>
      </c>
      <c r="C75" s="48">
        <v>927459756</v>
      </c>
      <c r="D75" s="48" t="s">
        <v>86</v>
      </c>
      <c r="E75" s="28">
        <f>SUM(F75:J75)</f>
        <v>11</v>
      </c>
      <c r="F75" s="49">
        <v>0</v>
      </c>
      <c r="G75" s="49">
        <v>6</v>
      </c>
      <c r="H75" s="49">
        <v>4</v>
      </c>
      <c r="I75" s="49">
        <v>1</v>
      </c>
      <c r="J75" s="49">
        <v>0</v>
      </c>
      <c r="K75" s="25">
        <f>(H75*5)+(I75*9)+(J75*18)+G75</f>
        <v>35</v>
      </c>
      <c r="L75" s="24">
        <f>(G75*5)+(H75*15)+(I75*30)+(J75*70)+F75</f>
        <v>120</v>
      </c>
      <c r="M75" s="17" t="str" cm="1">
        <f t="array" ref="M75">_xlfn.IFS(A75="5lvl2",IF(K75&gt;=35,"No debe",35-K75), A75="5lvl1",IF(L75&gt;=35,"No debe",35-L75))</f>
        <v>No debe</v>
      </c>
      <c r="N75" s="8"/>
    </row>
    <row r="76" spans="1:14" x14ac:dyDescent="0.25">
      <c r="A76" s="11" t="str">
        <f>IF(ISERROR(VLOOKUP(C76,'Caza lvl 1'!A:A,1,0)),"5lvl2","5lvl1")</f>
        <v>5lvl2</v>
      </c>
      <c r="B76" s="16" t="str">
        <f>_xlfn.IFS(A76 = "5lvl2",IF(K76&gt;=35,"Cumplio", "No cumplio"),A76 = "5lvl1",IF(L76&gt;= 35,"Cumplio","No cumplio"))</f>
        <v>No cumplio</v>
      </c>
      <c r="C76" s="48">
        <v>1040811175</v>
      </c>
      <c r="D76" s="48" t="s">
        <v>145</v>
      </c>
      <c r="E76" s="28">
        <f>SUM(F76:J76)</f>
        <v>22</v>
      </c>
      <c r="F76" s="49">
        <v>0</v>
      </c>
      <c r="G76" s="49">
        <v>19</v>
      </c>
      <c r="H76" s="49">
        <v>3</v>
      </c>
      <c r="I76" s="49">
        <v>0</v>
      </c>
      <c r="J76" s="49">
        <v>0</v>
      </c>
      <c r="K76" s="25">
        <f>(H76*5)+(I76*9)+(J76*18)+G76</f>
        <v>34</v>
      </c>
      <c r="L76" s="24">
        <f>(G76*5)+(H76*15)+(I76*30)+(J76*70)+F76</f>
        <v>140</v>
      </c>
      <c r="M76" s="17" cm="1">
        <f t="array" ref="M76">_xlfn.IFS(A76="5lvl2",IF(K76&gt;=35,"No debe",35-K76), A76="5lvl1",IF(L76&gt;=35,"No debe",35-L76))</f>
        <v>1</v>
      </c>
      <c r="N76" s="8"/>
    </row>
    <row r="77" spans="1:14" x14ac:dyDescent="0.25">
      <c r="A77" s="11" t="str">
        <f>IF(ISERROR(VLOOKUP(C77,'Caza lvl 1'!A:A,1,0)),"5lvl2","5lvl1")</f>
        <v>5lvl2</v>
      </c>
      <c r="B77" s="16" t="str">
        <f>_xlfn.IFS(A77 = "5lvl2",IF(K77&gt;=35,"Cumplio", "No cumplio"),A77 = "5lvl1",IF(L77&gt;= 35,"Cumplio","No cumplio"))</f>
        <v>No cumplio</v>
      </c>
      <c r="C77" s="48">
        <v>1769834648</v>
      </c>
      <c r="D77" s="48" t="s">
        <v>36</v>
      </c>
      <c r="E77" s="28">
        <f>SUM(F77:J77)</f>
        <v>30</v>
      </c>
      <c r="F77" s="49">
        <v>0</v>
      </c>
      <c r="G77" s="49">
        <v>30</v>
      </c>
      <c r="H77" s="49">
        <v>0</v>
      </c>
      <c r="I77" s="49">
        <v>0</v>
      </c>
      <c r="J77" s="49">
        <v>0</v>
      </c>
      <c r="K77" s="25">
        <f>(H77*5)+(I77*9)+(J77*18)+G77</f>
        <v>30</v>
      </c>
      <c r="L77" s="24">
        <f>(G77*5)+(H77*15)+(I77*30)+(J77*70)+F77</f>
        <v>150</v>
      </c>
      <c r="M77" s="17" cm="1">
        <f t="array" ref="M77">_xlfn.IFS(A77="5lvl2",IF(K77&gt;=35,"No debe",35-K77), A77="5lvl1",IF(L77&gt;=35,"No debe",35-L77))</f>
        <v>5</v>
      </c>
      <c r="N77" s="8"/>
    </row>
    <row r="78" spans="1:14" x14ac:dyDescent="0.25">
      <c r="A78" s="11" t="str">
        <f>IF(ISERROR(VLOOKUP(C78,'Caza lvl 1'!A:A,1,0)),"5lvl2","5lvl1")</f>
        <v>5lvl1</v>
      </c>
      <c r="B78" s="16" t="str">
        <f>_xlfn.IFS(A78 = "5lvl2",IF(K78&gt;=35,"Cumplio", "No cumplio"),A78 = "5lvl1",IF(L78&gt;= 35,"Cumplio","No cumplio"))</f>
        <v>Cumplio</v>
      </c>
      <c r="C78" s="48">
        <v>1264043363</v>
      </c>
      <c r="D78" s="48" t="s">
        <v>154</v>
      </c>
      <c r="E78" s="28">
        <f>SUM(F78:J78)</f>
        <v>6</v>
      </c>
      <c r="F78" s="49">
        <v>0</v>
      </c>
      <c r="G78" s="49">
        <v>0</v>
      </c>
      <c r="H78" s="49">
        <v>6</v>
      </c>
      <c r="I78" s="49">
        <v>0</v>
      </c>
      <c r="J78" s="49">
        <v>0</v>
      </c>
      <c r="K78" s="25">
        <f>(H78*5)+(I78*9)+(J78*18)+G78</f>
        <v>30</v>
      </c>
      <c r="L78" s="24">
        <f>(G78*5)+(H78*15)+(I78*30)+(J78*70)+F78</f>
        <v>90</v>
      </c>
      <c r="M78" s="17" t="str" cm="1">
        <f t="array" ref="M78">_xlfn.IFS(A78="5lvl2",IF(K78&gt;=35,"No debe",35-K78), A78="5lvl1",IF(L78&gt;=35,"No debe",35-L78))</f>
        <v>No debe</v>
      </c>
      <c r="N78" s="8"/>
    </row>
    <row r="79" spans="1:14" x14ac:dyDescent="0.25">
      <c r="A79" s="11" t="str">
        <f>IF(ISERROR(VLOOKUP(C79,'Caza lvl 1'!A:A,1,0)),"5lvl2","5lvl1")</f>
        <v>5lvl2</v>
      </c>
      <c r="B79" s="16" t="str">
        <f>_xlfn.IFS(A79 = "5lvl2",IF(K79&gt;=35,"Cumplio", "No cumplio"),A79 = "5lvl1",IF(L79&gt;= 35,"Cumplio","No cumplio"))</f>
        <v>No cumplio</v>
      </c>
      <c r="C79" s="48">
        <v>852051372</v>
      </c>
      <c r="D79" s="48" t="s">
        <v>152</v>
      </c>
      <c r="E79" s="28">
        <f>SUM(F79:J79)</f>
        <v>15</v>
      </c>
      <c r="F79" s="49">
        <v>0</v>
      </c>
      <c r="G79" s="49">
        <v>12</v>
      </c>
      <c r="H79" s="49">
        <v>3</v>
      </c>
      <c r="I79" s="49">
        <v>0</v>
      </c>
      <c r="J79" s="49">
        <v>0</v>
      </c>
      <c r="K79" s="25">
        <f>(H79*5)+(I79*9)+(J79*18)+G79</f>
        <v>27</v>
      </c>
      <c r="L79" s="24">
        <f>(G79*5)+(H79*15)+(I79*30)+(J79*70)+F79</f>
        <v>105</v>
      </c>
      <c r="M79" s="17" cm="1">
        <f t="array" ref="M79">_xlfn.IFS(A79="5lvl2",IF(K79&gt;=35,"No debe",35-K79), A79="5lvl1",IF(L79&gt;=35,"No debe",35-L79))</f>
        <v>8</v>
      </c>
      <c r="N79" s="8"/>
    </row>
    <row r="80" spans="1:14" x14ac:dyDescent="0.25">
      <c r="A80" s="11" t="str">
        <f>IF(ISERROR(VLOOKUP(C80,'Caza lvl 1'!A:A,1,0)),"5lvl2","5lvl1")</f>
        <v>5lvl2</v>
      </c>
      <c r="B80" s="16" t="str">
        <f>_xlfn.IFS(A80 = "5lvl2",IF(K80&gt;=35,"Cumplio", "No cumplio"),A80 = "5lvl1",IF(L80&gt;= 35,"Cumplio","No cumplio"))</f>
        <v>No cumplio</v>
      </c>
      <c r="C80" s="48">
        <v>1279827382</v>
      </c>
      <c r="D80" s="48" t="s">
        <v>142</v>
      </c>
      <c r="E80" s="28">
        <f>SUM(F80:J80)</f>
        <v>10</v>
      </c>
      <c r="F80" s="49">
        <v>0</v>
      </c>
      <c r="G80" s="49">
        <v>6</v>
      </c>
      <c r="H80" s="49">
        <v>4</v>
      </c>
      <c r="I80" s="49">
        <v>0</v>
      </c>
      <c r="J80" s="49">
        <v>0</v>
      </c>
      <c r="K80" s="25">
        <f>(H80*5)+(I80*9)+(J80*18)+G80</f>
        <v>26</v>
      </c>
      <c r="L80" s="24">
        <f>(G80*5)+(H80*15)+(I80*30)+(J80*70)+F80</f>
        <v>90</v>
      </c>
      <c r="M80" s="17" cm="1">
        <f t="array" ref="M80">_xlfn.IFS(A80="5lvl2",IF(K80&gt;=35,"No debe",35-K80), A80="5lvl1",IF(L80&gt;=35,"No debe",35-L80))</f>
        <v>9</v>
      </c>
      <c r="N80" s="8"/>
    </row>
    <row r="81" spans="1:14" x14ac:dyDescent="0.25">
      <c r="A81" s="11" t="str">
        <f>IF(ISERROR(VLOOKUP(C81,'Caza lvl 1'!A:A,1,0)),"5lvl2","5lvl1")</f>
        <v>5lvl2</v>
      </c>
      <c r="B81" s="16" t="str">
        <f>_xlfn.IFS(A81 = "5lvl2",IF(K81&gt;=35,"Cumplio", "No cumplio"),A81 = "5lvl1",IF(L81&gt;= 35,"Cumplio","No cumplio"))</f>
        <v>No cumplio</v>
      </c>
      <c r="C81" s="48">
        <v>526144427</v>
      </c>
      <c r="D81" s="48" t="s">
        <v>146</v>
      </c>
      <c r="E81" s="28">
        <f>SUM(F81:J81)</f>
        <v>8</v>
      </c>
      <c r="F81" s="49">
        <v>0</v>
      </c>
      <c r="G81" s="49">
        <v>4</v>
      </c>
      <c r="H81" s="49">
        <v>4</v>
      </c>
      <c r="I81" s="49">
        <v>0</v>
      </c>
      <c r="J81" s="49">
        <v>0</v>
      </c>
      <c r="K81" s="25">
        <f>(H81*5)+(I81*9)+(J81*18)+G81</f>
        <v>24</v>
      </c>
      <c r="L81" s="24">
        <f>(G81*5)+(H81*15)+(I81*30)+(J81*70)+F81</f>
        <v>80</v>
      </c>
      <c r="M81" s="17" cm="1">
        <f t="array" ref="M81">_xlfn.IFS(A81="5lvl2",IF(K81&gt;=35,"No debe",35-K81), A81="5lvl1",IF(L81&gt;=35,"No debe",35-L81))</f>
        <v>11</v>
      </c>
      <c r="N81" s="8"/>
    </row>
    <row r="82" spans="1:14" x14ac:dyDescent="0.25">
      <c r="A82" s="11" t="str">
        <f>IF(ISERROR(VLOOKUP(C82,'Caza lvl 1'!A:A,1,0)),"5lvl2","5lvl1")</f>
        <v>5lvl2</v>
      </c>
      <c r="B82" s="16" t="str">
        <f>_xlfn.IFS(A82 = "5lvl2",IF(K82&gt;=35,"Cumplio", "No cumplio"),A82 = "5lvl1",IF(L82&gt;= 35,"Cumplio","No cumplio"))</f>
        <v>No cumplio</v>
      </c>
      <c r="C82" s="48">
        <v>1268693750</v>
      </c>
      <c r="D82" s="48" t="s">
        <v>157</v>
      </c>
      <c r="E82" s="28">
        <f>SUM(F82:J82)</f>
        <v>19</v>
      </c>
      <c r="F82" s="49">
        <v>0</v>
      </c>
      <c r="G82" s="49">
        <v>18</v>
      </c>
      <c r="H82" s="49">
        <v>1</v>
      </c>
      <c r="I82" s="49">
        <v>0</v>
      </c>
      <c r="J82" s="49">
        <v>0</v>
      </c>
      <c r="K82" s="25">
        <f>(H82*5)+(I82*9)+(J82*18)+G82</f>
        <v>23</v>
      </c>
      <c r="L82" s="24">
        <f>(G82*5)+(H82*15)+(I82*30)+(J82*70)+F82</f>
        <v>105</v>
      </c>
      <c r="M82" s="17" cm="1">
        <f t="array" ref="M82">_xlfn.IFS(A82="5lvl2",IF(K82&gt;=35,"No debe",35-K82), A82="5lvl1",IF(L82&gt;=35,"No debe",35-L82))</f>
        <v>12</v>
      </c>
      <c r="N82" s="8"/>
    </row>
    <row r="83" spans="1:14" x14ac:dyDescent="0.25">
      <c r="A83" s="11" t="str">
        <f>IF(ISERROR(VLOOKUP(C83,'Caza lvl 1'!A:A,1,0)),"5lvl2","5lvl1")</f>
        <v>5lvl2</v>
      </c>
      <c r="B83" s="16" t="str">
        <f>_xlfn.IFS(A83 = "5lvl2",IF(K83&gt;=35,"Cumplio", "No cumplio"),A83 = "5lvl1",IF(L83&gt;= 35,"Cumplio","No cumplio"))</f>
        <v>No cumplio</v>
      </c>
      <c r="C83" s="48">
        <v>386453157</v>
      </c>
      <c r="D83" s="48" t="s">
        <v>187</v>
      </c>
      <c r="E83" s="28">
        <f>SUM(F83:J83)</f>
        <v>6</v>
      </c>
      <c r="F83" s="49">
        <v>0</v>
      </c>
      <c r="G83" s="49">
        <v>2</v>
      </c>
      <c r="H83" s="49">
        <v>4</v>
      </c>
      <c r="I83" s="49">
        <v>0</v>
      </c>
      <c r="J83" s="49">
        <v>0</v>
      </c>
      <c r="K83" s="25">
        <f>(H83*5)+(I83*9)+(J83*18)+G83</f>
        <v>22</v>
      </c>
      <c r="L83" s="24">
        <f>(G83*5)+(H83*15)+(I83*30)+(J83*70)+F83</f>
        <v>70</v>
      </c>
      <c r="M83" s="17" cm="1">
        <f t="array" ref="M83">_xlfn.IFS(A83="5lvl2",IF(K83&gt;=35,"No debe",35-K83), A83="5lvl1",IF(L83&gt;=35,"No debe",35-L83))</f>
        <v>13</v>
      </c>
      <c r="N83" s="8"/>
    </row>
    <row r="84" spans="1:14" x14ac:dyDescent="0.25">
      <c r="A84" s="11" t="str">
        <f>IF(ISERROR(VLOOKUP(C84,'Caza lvl 1'!A:A,1,0)),"5lvl2","5lvl1")</f>
        <v>5lvl2</v>
      </c>
      <c r="B84" s="16" t="str">
        <f>_xlfn.IFS(A84 = "5lvl2",IF(K84&gt;=35,"Cumplio", "No cumplio"),A84 = "5lvl1",IF(L84&gt;= 35,"Cumplio","No cumplio"))</f>
        <v>No cumplio</v>
      </c>
      <c r="C84" s="48">
        <v>1041187189</v>
      </c>
      <c r="D84" s="48" t="s">
        <v>159</v>
      </c>
      <c r="E84" s="28">
        <f>SUM(F84:J84)</f>
        <v>4</v>
      </c>
      <c r="F84" s="49">
        <v>0</v>
      </c>
      <c r="G84" s="49">
        <v>1</v>
      </c>
      <c r="H84" s="49">
        <v>2</v>
      </c>
      <c r="I84" s="49">
        <v>1</v>
      </c>
      <c r="J84" s="49">
        <v>0</v>
      </c>
      <c r="K84" s="25">
        <f>(H84*5)+(I84*9)+(J84*18)+G84</f>
        <v>20</v>
      </c>
      <c r="L84" s="24">
        <f>(G84*5)+(H84*15)+(I84*30)+(J84*70)+F84</f>
        <v>65</v>
      </c>
      <c r="M84" s="17" cm="1">
        <f t="array" ref="M84">_xlfn.IFS(A84="5lvl2",IF(K84&gt;=35,"No debe",35-K84), A84="5lvl1",IF(L84&gt;=35,"No debe",35-L84))</f>
        <v>15</v>
      </c>
      <c r="N84" s="8"/>
    </row>
    <row r="85" spans="1:14" x14ac:dyDescent="0.25">
      <c r="A85" s="11" t="str">
        <f>IF(ISERROR(VLOOKUP(C85,'Caza lvl 1'!A:A,1,0)),"5lvl2","5lvl1")</f>
        <v>5lvl1</v>
      </c>
      <c r="B85" s="16" t="str">
        <f>_xlfn.IFS(A85 = "5lvl2",IF(K85&gt;=35,"Cumplio", "No cumplio"),A85 = "5lvl1",IF(L85&gt;= 35,"Cumplio","No cumplio"))</f>
        <v>Cumplio</v>
      </c>
      <c r="C85" s="48">
        <v>1067470462</v>
      </c>
      <c r="D85" s="48" t="s">
        <v>160</v>
      </c>
      <c r="E85" s="28">
        <f>SUM(F85:J85)</f>
        <v>19</v>
      </c>
      <c r="F85" s="49">
        <v>0</v>
      </c>
      <c r="G85" s="49">
        <v>19</v>
      </c>
      <c r="H85" s="49">
        <v>0</v>
      </c>
      <c r="I85" s="49">
        <v>0</v>
      </c>
      <c r="J85" s="49">
        <v>0</v>
      </c>
      <c r="K85" s="25">
        <f>(H85*5)+(I85*9)+(J85*18)+G85</f>
        <v>19</v>
      </c>
      <c r="L85" s="24">
        <f>(G85*5)+(H85*15)+(I85*30)+(J85*70)+F85</f>
        <v>95</v>
      </c>
      <c r="M85" s="17" t="str" cm="1">
        <f t="array" ref="M85">_xlfn.IFS(A85="5lvl2",IF(K85&gt;=35,"No debe",35-K85), A85="5lvl1",IF(L85&gt;=35,"No debe",35-L85))</f>
        <v>No debe</v>
      </c>
      <c r="N85" s="8"/>
    </row>
    <row r="86" spans="1:14" x14ac:dyDescent="0.25">
      <c r="A86" s="11" t="str">
        <f>IF(ISERROR(VLOOKUP(C86,'Caza lvl 1'!A:A,1,0)),"5lvl2","5lvl1")</f>
        <v>5lvl2</v>
      </c>
      <c r="B86" s="16" t="str">
        <f>_xlfn.IFS(A86 = "5lvl2",IF(K86&gt;=35,"Cumplio", "No cumplio"),A86 = "5lvl1",IF(L86&gt;= 35,"Cumplio","No cumplio"))</f>
        <v>No cumplio</v>
      </c>
      <c r="C86" s="48">
        <v>1727138266</v>
      </c>
      <c r="D86" s="48" t="s">
        <v>191</v>
      </c>
      <c r="E86" s="28">
        <f>SUM(F86:J86)</f>
        <v>4</v>
      </c>
      <c r="F86" s="49">
        <v>0</v>
      </c>
      <c r="G86" s="49">
        <v>1</v>
      </c>
      <c r="H86" s="49">
        <v>3</v>
      </c>
      <c r="I86" s="49">
        <v>0</v>
      </c>
      <c r="J86" s="49">
        <v>0</v>
      </c>
      <c r="K86" s="25">
        <f>(H86*5)+(I86*9)+(J86*18)+G86</f>
        <v>16</v>
      </c>
      <c r="L86" s="24">
        <f>(G86*5)+(H86*15)+(I86*30)+(J86*70)+F86</f>
        <v>50</v>
      </c>
      <c r="M86" s="17" cm="1">
        <f t="array" ref="M86">_xlfn.IFS(A86="5lvl2",IF(K86&gt;=35,"No debe",35-K86), A86="5lvl1",IF(L86&gt;=35,"No debe",35-L86))</f>
        <v>19</v>
      </c>
      <c r="N86" s="8"/>
    </row>
    <row r="87" spans="1:14" x14ac:dyDescent="0.25">
      <c r="A87" s="11" t="str">
        <f>IF(ISERROR(VLOOKUP(C87,'Caza lvl 1'!A:A,1,0)),"5lvl2","5lvl1")</f>
        <v>5lvl1</v>
      </c>
      <c r="B87" s="16" t="str">
        <f>_xlfn.IFS(A87 = "5lvl2",IF(K87&gt;=35,"Cumplio", "No cumplio"),A87 = "5lvl1",IF(L87&gt;= 35,"Cumplio","No cumplio"))</f>
        <v>Cumplio</v>
      </c>
      <c r="C87" s="48">
        <v>1483867967</v>
      </c>
      <c r="D87" s="48" t="s">
        <v>171</v>
      </c>
      <c r="E87" s="28">
        <f>SUM(F87:J87)</f>
        <v>4</v>
      </c>
      <c r="F87" s="49">
        <v>0</v>
      </c>
      <c r="G87" s="49">
        <v>2</v>
      </c>
      <c r="H87" s="49">
        <v>2</v>
      </c>
      <c r="I87" s="49">
        <v>0</v>
      </c>
      <c r="J87" s="49">
        <v>0</v>
      </c>
      <c r="K87" s="25">
        <f>(H87*5)+(I87*9)+(J87*18)+G87</f>
        <v>12</v>
      </c>
      <c r="L87" s="24">
        <f>(G87*5)+(H87*15)+(I87*30)+(J87*70)+F87</f>
        <v>40</v>
      </c>
      <c r="M87" s="17" t="str" cm="1">
        <f t="array" ref="M87">_xlfn.IFS(A87="5lvl2",IF(K87&gt;=35,"No debe",35-K87), A87="5lvl1",IF(L87&gt;=35,"No debe",35-L87))</f>
        <v>No debe</v>
      </c>
      <c r="N87" s="8"/>
    </row>
    <row r="88" spans="1:14" x14ac:dyDescent="0.25">
      <c r="A88" s="11" t="str">
        <f>IF(ISERROR(VLOOKUP(C88,'Caza lvl 1'!A:A,1,0)),"5lvl2","5lvl1")</f>
        <v>5lvl2</v>
      </c>
      <c r="B88" s="16" t="str">
        <f>_xlfn.IFS(A88 = "5lvl2",IF(K88&gt;=35,"Cumplio", "No cumplio"),A88 = "5lvl1",IF(L88&gt;= 35,"Cumplio","No cumplio"))</f>
        <v>No cumplio</v>
      </c>
      <c r="C88" s="48">
        <v>422938512</v>
      </c>
      <c r="D88" s="48" t="s">
        <v>190</v>
      </c>
      <c r="E88" s="28">
        <f>SUM(F88:J88)</f>
        <v>4</v>
      </c>
      <c r="F88" s="49">
        <v>0</v>
      </c>
      <c r="G88" s="49">
        <v>2</v>
      </c>
      <c r="H88" s="49">
        <v>2</v>
      </c>
      <c r="I88" s="49">
        <v>0</v>
      </c>
      <c r="J88" s="49">
        <v>0</v>
      </c>
      <c r="K88" s="25">
        <f>(H88*5)+(I88*9)+(J88*18)+G88</f>
        <v>12</v>
      </c>
      <c r="L88" s="24">
        <f>(G88*5)+(H88*15)+(I88*30)+(J88*70)+F88</f>
        <v>40</v>
      </c>
      <c r="M88" s="17" cm="1">
        <f t="array" ref="M88">_xlfn.IFS(A88="5lvl2",IF(K88&gt;=35,"No debe",35-K88), A88="5lvl1",IF(L88&gt;=35,"No debe",35-L88))</f>
        <v>23</v>
      </c>
      <c r="N88" s="8"/>
    </row>
    <row r="89" spans="1:14" x14ac:dyDescent="0.25">
      <c r="A89" s="11" t="str">
        <f>IF(ISERROR(VLOOKUP(C89,'Caza lvl 1'!A:A,1,0)),"5lvl2","5lvl1")</f>
        <v>5lvl2</v>
      </c>
      <c r="B89" s="16" t="str">
        <f>_xlfn.IFS(A89 = "5lvl2",IF(K89&gt;=35,"Cumplio", "No cumplio"),A89 = "5lvl1",IF(L89&gt;= 35,"Cumplio","No cumplio"))</f>
        <v>No cumplio</v>
      </c>
      <c r="C89" s="48">
        <v>952505208</v>
      </c>
      <c r="D89" s="48" t="s">
        <v>189</v>
      </c>
      <c r="E89" s="28">
        <f>SUM(F89:J89)</f>
        <v>9</v>
      </c>
      <c r="F89" s="49">
        <v>0</v>
      </c>
      <c r="G89" s="49">
        <v>9</v>
      </c>
      <c r="H89" s="49">
        <v>0</v>
      </c>
      <c r="I89" s="49">
        <v>0</v>
      </c>
      <c r="J89" s="49">
        <v>0</v>
      </c>
      <c r="K89" s="25">
        <f>(H89*5)+(I89*9)+(J89*18)+G89</f>
        <v>9</v>
      </c>
      <c r="L89" s="24">
        <f>(G89*5)+(H89*15)+(I89*30)+(J89*70)+F89</f>
        <v>45</v>
      </c>
      <c r="M89" s="17" cm="1">
        <f t="array" ref="M89">_xlfn.IFS(A89="5lvl2",IF(K89&gt;=35,"No debe",35-K89), A89="5lvl1",IF(L89&gt;=35,"No debe",35-L89))</f>
        <v>26</v>
      </c>
      <c r="N89" s="8"/>
    </row>
    <row r="90" spans="1:14" x14ac:dyDescent="0.25">
      <c r="A90" s="11" t="str">
        <f>IF(ISERROR(VLOOKUP(C90,'Caza lvl 1'!A:A,1,0)),"5lvl2","5lvl1")</f>
        <v>5lvl1</v>
      </c>
      <c r="B90" s="16" t="str">
        <f>_xlfn.IFS(A90 = "5lvl2",IF(K90&gt;=35,"Cumplio", "No cumplio"),A90 = "5lvl1",IF(L90&gt;= 35,"Cumplio","No cumplio"))</f>
        <v>Cumplio</v>
      </c>
      <c r="C90" s="48">
        <v>1931591455</v>
      </c>
      <c r="D90" s="48" t="s">
        <v>115</v>
      </c>
      <c r="E90" s="28">
        <f>SUM(F90:J90)</f>
        <v>5</v>
      </c>
      <c r="F90" s="49">
        <v>0</v>
      </c>
      <c r="G90" s="49">
        <v>4</v>
      </c>
      <c r="H90" s="49">
        <v>1</v>
      </c>
      <c r="I90" s="49">
        <v>0</v>
      </c>
      <c r="J90" s="49">
        <v>0</v>
      </c>
      <c r="K90" s="25">
        <f>(H90*5)+(I90*9)+(J90*18)+G90</f>
        <v>9</v>
      </c>
      <c r="L90" s="24">
        <f>(G90*5)+(H90*15)+(I90*30)+(J90*70)+F90</f>
        <v>35</v>
      </c>
      <c r="M90" s="17" t="str" cm="1">
        <f t="array" ref="M90">_xlfn.IFS(A90="5lvl2",IF(K90&gt;=35,"No debe",35-K90), A90="5lvl1",IF(L90&gt;=35,"No debe",35-L90))</f>
        <v>No debe</v>
      </c>
      <c r="N90" s="8"/>
    </row>
    <row r="91" spans="1:14" x14ac:dyDescent="0.25">
      <c r="A91" s="11" t="str">
        <f>IF(ISERROR(VLOOKUP(C91,'Caza lvl 1'!A:A,1,0)),"5lvl2","5lvl1")</f>
        <v>5lvl1</v>
      </c>
      <c r="B91" s="16" t="str">
        <f>_xlfn.IFS(A91 = "5lvl2",IF(K91&gt;=35,"Cumplio", "No cumplio"),A91 = "5lvl1",IF(L91&gt;= 35,"Cumplio","No cumplio"))</f>
        <v>Cumplio</v>
      </c>
      <c r="C91" s="48">
        <v>2024927090</v>
      </c>
      <c r="D91" s="48" t="s">
        <v>34</v>
      </c>
      <c r="E91" s="28">
        <f>SUM(F91:J91)</f>
        <v>8</v>
      </c>
      <c r="F91" s="49">
        <v>0</v>
      </c>
      <c r="G91" s="49">
        <v>8</v>
      </c>
      <c r="H91" s="49">
        <v>0</v>
      </c>
      <c r="I91" s="49">
        <v>0</v>
      </c>
      <c r="J91" s="49">
        <v>0</v>
      </c>
      <c r="K91" s="25">
        <f>(H91*5)+(I91*9)+(J91*18)+G91</f>
        <v>8</v>
      </c>
      <c r="L91" s="24">
        <f>(G91*5)+(H91*15)+(I91*30)+(J91*70)+F91</f>
        <v>40</v>
      </c>
      <c r="M91" s="17" t="str" cm="1">
        <f t="array" ref="M91">_xlfn.IFS(A91="5lvl2",IF(K91&gt;=35,"No debe",35-K91), A91="5lvl1",IF(L91&gt;=35,"No debe",35-L91))</f>
        <v>No debe</v>
      </c>
      <c r="N91" s="8"/>
    </row>
    <row r="92" spans="1:14" x14ac:dyDescent="0.25">
      <c r="A92" s="11" t="str">
        <f>IF(ISERROR(VLOOKUP(C92,'Caza lvl 1'!A:A,1,0)),"5lvl2","5lvl1")</f>
        <v>5lvl1</v>
      </c>
      <c r="B92" s="16" t="str">
        <f>_xlfn.IFS(A92 = "5lvl2",IF(K92&gt;=35,"Cumplio", "No cumplio"),A92 = "5lvl1",IF(L92&gt;= 35,"Cumplio","No cumplio"))</f>
        <v>Cumplio</v>
      </c>
      <c r="C92" s="48">
        <v>2057192192</v>
      </c>
      <c r="D92" s="48" t="s">
        <v>46</v>
      </c>
      <c r="E92" s="28">
        <f>SUM(F92:J92)</f>
        <v>14</v>
      </c>
      <c r="F92" s="49">
        <v>11</v>
      </c>
      <c r="G92" s="49">
        <v>2</v>
      </c>
      <c r="H92" s="49">
        <v>1</v>
      </c>
      <c r="I92" s="49">
        <v>0</v>
      </c>
      <c r="J92" s="49">
        <v>0</v>
      </c>
      <c r="K92" s="25">
        <f>(H92*5)+(I92*9)+(J92*18)+G92</f>
        <v>7</v>
      </c>
      <c r="L92" s="24">
        <f>(G92*5)+(H92*15)+(I92*30)+(J92*70)+F92</f>
        <v>36</v>
      </c>
      <c r="M92" s="17" t="str" cm="1">
        <f t="array" ref="M92">_xlfn.IFS(A92="5lvl2",IF(K92&gt;=35,"No debe",35-K92), A92="5lvl1",IF(L92&gt;=35,"No debe",35-L92))</f>
        <v>No debe</v>
      </c>
      <c r="N92" s="8"/>
    </row>
    <row r="93" spans="1:14" x14ac:dyDescent="0.25">
      <c r="A93" s="11" t="str">
        <f>IF(ISERROR(VLOOKUP(C93,'Caza lvl 1'!A:A,1,0)),"5lvl2","5lvl1")</f>
        <v>5lvl2</v>
      </c>
      <c r="B93" s="16" t="str">
        <f>_xlfn.IFS(A93 = "5lvl2",IF(K93&gt;=35,"Cumplio", "No cumplio"),A93 = "5lvl1",IF(L93&gt;= 35,"Cumplio","No cumplio"))</f>
        <v>No cumplio</v>
      </c>
      <c r="C93" s="48">
        <v>689818698</v>
      </c>
      <c r="D93" s="48" t="s">
        <v>194</v>
      </c>
      <c r="E93" s="28">
        <f>SUM(F93:J93)</f>
        <v>7</v>
      </c>
      <c r="F93" s="49">
        <v>0</v>
      </c>
      <c r="G93" s="49">
        <v>7</v>
      </c>
      <c r="H93" s="49">
        <v>0</v>
      </c>
      <c r="I93" s="49">
        <v>0</v>
      </c>
      <c r="J93" s="49">
        <v>0</v>
      </c>
      <c r="K93" s="25">
        <f>(H93*5)+(I93*9)+(J93*18)+G93</f>
        <v>7</v>
      </c>
      <c r="L93" s="24">
        <f>(G93*5)+(H93*15)+(I93*30)+(J93*70)+F93</f>
        <v>35</v>
      </c>
      <c r="M93" s="17" cm="1">
        <f t="array" ref="M93">_xlfn.IFS(A93="5lvl2",IF(K93&gt;=35,"No debe",35-K93), A93="5lvl1",IF(L93&gt;=35,"No debe",35-L93))</f>
        <v>28</v>
      </c>
      <c r="N93" s="8"/>
    </row>
    <row r="94" spans="1:14" x14ac:dyDescent="0.25">
      <c r="A94" s="11" t="str">
        <f>IF(ISERROR(VLOOKUP(C94,'Caza lvl 1'!A:A,1,0)),"5lvl2","5lvl1")</f>
        <v>5lvl1</v>
      </c>
      <c r="B94" s="16" t="str">
        <f>_xlfn.IFS(A94 = "5lvl2",IF(K94&gt;=35,"Cumplio", "No cumplio"),A94 = "5lvl1",IF(L94&gt;= 35,"Cumplio","No cumplio"))</f>
        <v>Cumplio</v>
      </c>
      <c r="C94" s="48">
        <v>2060348531</v>
      </c>
      <c r="D94" s="48" t="s">
        <v>64</v>
      </c>
      <c r="E94" s="28">
        <f>SUM(F94:J94)</f>
        <v>13</v>
      </c>
      <c r="F94" s="49">
        <v>7</v>
      </c>
      <c r="G94" s="49">
        <v>6</v>
      </c>
      <c r="H94" s="49">
        <v>0</v>
      </c>
      <c r="I94" s="49">
        <v>0</v>
      </c>
      <c r="J94" s="49">
        <v>0</v>
      </c>
      <c r="K94" s="25">
        <f>(H94*5)+(I94*9)+(J94*18)+G94</f>
        <v>6</v>
      </c>
      <c r="L94" s="24">
        <f>(G94*5)+(H94*15)+(I94*30)+(J94*70)+F94</f>
        <v>37</v>
      </c>
      <c r="M94" s="17" t="str" cm="1">
        <f t="array" ref="M94">_xlfn.IFS(A94="5lvl2",IF(K94&gt;=35,"No debe",35-K94), A94="5lvl1",IF(L94&gt;=35,"No debe",35-L94))</f>
        <v>No debe</v>
      </c>
      <c r="N94" s="8"/>
    </row>
    <row r="95" spans="1:14" x14ac:dyDescent="0.25">
      <c r="A95" s="11" t="str">
        <f>IF(ISERROR(VLOOKUP(C95,'Caza lvl 1'!A:A,1,0)),"5lvl2","5lvl1")</f>
        <v>5lvl2</v>
      </c>
      <c r="B95" s="16" t="str">
        <f>_xlfn.IFS(A95 = "5lvl2",IF(K95&gt;=35,"Cumplio", "No cumplio"),A95 = "5lvl1",IF(L95&gt;= 35,"Cumplio","No cumplio"))</f>
        <v>No cumplio</v>
      </c>
      <c r="C95" s="48">
        <v>319651861</v>
      </c>
      <c r="D95" s="48" t="s">
        <v>195</v>
      </c>
      <c r="E95" s="28">
        <f>SUM(F95:J95)</f>
        <v>6</v>
      </c>
      <c r="F95" s="49">
        <v>0</v>
      </c>
      <c r="G95" s="49">
        <v>6</v>
      </c>
      <c r="H95" s="49">
        <v>0</v>
      </c>
      <c r="I95" s="49">
        <v>0</v>
      </c>
      <c r="J95" s="49">
        <v>0</v>
      </c>
      <c r="K95" s="25">
        <f>(H95*5)+(I95*9)+(J95*18)+G95</f>
        <v>6</v>
      </c>
      <c r="L95" s="24">
        <f>(G95*5)+(H95*15)+(I95*30)+(J95*70)+F95</f>
        <v>30</v>
      </c>
      <c r="M95" s="17" cm="1">
        <f t="array" ref="M95">_xlfn.IFS(A95="5lvl2",IF(K95&gt;=35,"No debe",35-K95), A95="5lvl1",IF(L95&gt;=35,"No debe",35-L95))</f>
        <v>29</v>
      </c>
      <c r="N95" s="8"/>
    </row>
    <row r="96" spans="1:14" x14ac:dyDescent="0.25">
      <c r="A96" s="11" t="str">
        <f>IF(ISERROR(VLOOKUP(C96,'Caza lvl 1'!A:A,1,0)),"5lvl2","5lvl1")</f>
        <v>5lvl2</v>
      </c>
      <c r="B96" s="16" t="str">
        <f>_xlfn.IFS(A96 = "5lvl2",IF(K96&gt;=35,"Cumplio", "No cumplio"),A96 = "5lvl1",IF(L96&gt;= 35,"Cumplio","No cumplio"))</f>
        <v>No cumplio</v>
      </c>
      <c r="C96" s="48">
        <v>582104628</v>
      </c>
      <c r="D96" s="48" t="s">
        <v>196</v>
      </c>
      <c r="E96" s="28">
        <f>SUM(F96:J96)</f>
        <v>6</v>
      </c>
      <c r="F96" s="49">
        <v>0</v>
      </c>
      <c r="G96" s="49">
        <v>6</v>
      </c>
      <c r="H96" s="49">
        <v>0</v>
      </c>
      <c r="I96" s="49">
        <v>0</v>
      </c>
      <c r="J96" s="49">
        <v>0</v>
      </c>
      <c r="K96" s="25">
        <f>(H96*5)+(I96*9)+(J96*18)+G96</f>
        <v>6</v>
      </c>
      <c r="L96" s="24">
        <f>(G96*5)+(H96*15)+(I96*30)+(J96*70)+F96</f>
        <v>30</v>
      </c>
      <c r="M96" s="17" cm="1">
        <f t="array" ref="M96">_xlfn.IFS(A96="5lvl2",IF(K96&gt;=35,"No debe",35-K96), A96="5lvl1",IF(L96&gt;=35,"No debe",35-L96))</f>
        <v>29</v>
      </c>
      <c r="N96" s="8"/>
    </row>
    <row r="97" spans="1:14" x14ac:dyDescent="0.25">
      <c r="A97" s="11" t="str">
        <f>IF(ISERROR(VLOOKUP(C97,'Caza lvl 1'!A:A,1,0)),"5lvl2","5lvl1")</f>
        <v>5lvl2</v>
      </c>
      <c r="B97" s="16" t="str">
        <f>_xlfn.IFS(A97 = "5lvl2",IF(K97&gt;=35,"Cumplio", "No cumplio"),A97 = "5lvl1",IF(L97&gt;= 35,"Cumplio","No cumplio"))</f>
        <v>No cumplio</v>
      </c>
      <c r="C97" s="48">
        <v>1693317344</v>
      </c>
      <c r="D97" s="48" t="s">
        <v>155</v>
      </c>
      <c r="E97" s="28">
        <f>SUM(F97:J97)</f>
        <v>6</v>
      </c>
      <c r="F97" s="49">
        <v>0</v>
      </c>
      <c r="G97" s="49">
        <v>6</v>
      </c>
      <c r="H97" s="49">
        <v>0</v>
      </c>
      <c r="I97" s="49">
        <v>0</v>
      </c>
      <c r="J97" s="49">
        <v>0</v>
      </c>
      <c r="K97" s="25">
        <f>(H97*5)+(I97*9)+(J97*18)+G97</f>
        <v>6</v>
      </c>
      <c r="L97" s="24">
        <f>(G97*5)+(H97*15)+(I97*30)+(J97*70)+F97</f>
        <v>30</v>
      </c>
      <c r="M97" s="17" cm="1">
        <f t="array" ref="M97">_xlfn.IFS(A97="5lvl2",IF(K97&gt;=35,"No debe",35-K97), A97="5lvl1",IF(L97&gt;=35,"No debe",35-L97))</f>
        <v>29</v>
      </c>
      <c r="N97" s="8"/>
    </row>
    <row r="98" spans="1:14" x14ac:dyDescent="0.25">
      <c r="A98" s="11" t="str">
        <f>IF(ISERROR(VLOOKUP(C98,'Caza lvl 1'!A:A,1,0)),"5lvl2","5lvl1")</f>
        <v>5lvl2</v>
      </c>
      <c r="B98" s="16" t="str">
        <f>_xlfn.IFS(A98 = "5lvl2",IF(K98&gt;=35,"Cumplio", "No cumplio"),A98 = "5lvl1",IF(L98&gt;= 35,"Cumplio","No cumplio"))</f>
        <v>No cumplio</v>
      </c>
      <c r="C98" s="48">
        <v>440323888</v>
      </c>
      <c r="D98" s="48" t="s">
        <v>139</v>
      </c>
      <c r="E98" s="28">
        <f>SUM(F98:J98)</f>
        <v>2</v>
      </c>
      <c r="F98" s="49">
        <v>0</v>
      </c>
      <c r="G98" s="49">
        <v>1</v>
      </c>
      <c r="H98" s="49">
        <v>1</v>
      </c>
      <c r="I98" s="49">
        <v>0</v>
      </c>
      <c r="J98" s="49">
        <v>0</v>
      </c>
      <c r="K98" s="25">
        <f>(H98*5)+(I98*9)+(J98*18)+G98</f>
        <v>6</v>
      </c>
      <c r="L98" s="24">
        <f>(G98*5)+(H98*15)+(I98*30)+(J98*70)+F98</f>
        <v>20</v>
      </c>
      <c r="M98" s="17" cm="1">
        <f t="array" ref="M98">_xlfn.IFS(A98="5lvl2",IF(K98&gt;=35,"No debe",35-K98), A98="5lvl1",IF(L98&gt;=35,"No debe",35-L98))</f>
        <v>29</v>
      </c>
      <c r="N98" s="8"/>
    </row>
    <row r="99" spans="1:14" x14ac:dyDescent="0.25">
      <c r="A99" s="11" t="str">
        <f>IF(ISERROR(VLOOKUP(C99,'Caza lvl 1'!A:A,1,0)),"5lvl2","5lvl1")</f>
        <v>5lvl1</v>
      </c>
      <c r="B99" s="16" t="str">
        <f>_xlfn.IFS(A99 = "5lvl2",IF(K99&gt;=35,"Cumplio", "No cumplio"),A99 = "5lvl1",IF(L99&gt;= 35,"Cumplio","No cumplio"))</f>
        <v>Cumplio</v>
      </c>
      <c r="C99" s="48">
        <v>2115871936</v>
      </c>
      <c r="D99" s="48" t="s">
        <v>104</v>
      </c>
      <c r="E99" s="28">
        <f>SUM(F99:J99)</f>
        <v>16</v>
      </c>
      <c r="F99" s="49">
        <v>11</v>
      </c>
      <c r="G99" s="49">
        <v>5</v>
      </c>
      <c r="H99" s="49">
        <v>0</v>
      </c>
      <c r="I99" s="49">
        <v>0</v>
      </c>
      <c r="J99" s="49">
        <v>0</v>
      </c>
      <c r="K99" s="25">
        <f>(H99*5)+(I99*9)+(J99*18)+G99</f>
        <v>5</v>
      </c>
      <c r="L99" s="24">
        <f>(G99*5)+(H99*15)+(I99*30)+(J99*70)+F99</f>
        <v>36</v>
      </c>
      <c r="M99" s="17" t="str" cm="1">
        <f t="array" ref="M99">_xlfn.IFS(A99="5lvl2",IF(K99&gt;=35,"No debe",35-K99), A99="5lvl1",IF(L99&gt;=35,"No debe",35-L99))</f>
        <v>No debe</v>
      </c>
      <c r="N99" s="8"/>
    </row>
    <row r="100" spans="1:14" x14ac:dyDescent="0.25">
      <c r="A100" s="11" t="str">
        <f>IF(ISERROR(VLOOKUP(C100,'Caza lvl 1'!A:A,1,0)),"5lvl2","5lvl1")</f>
        <v>5lvl2</v>
      </c>
      <c r="B100" s="16" t="str">
        <f>_xlfn.IFS(A100 = "5lvl2",IF(K100&gt;=35,"Cumplio", "No cumplio"),A100 = "5lvl1",IF(L100&gt;= 35,"Cumplio","No cumplio"))</f>
        <v>No cumplio</v>
      </c>
      <c r="C100" s="48">
        <v>412543735</v>
      </c>
      <c r="D100" s="48" t="s">
        <v>129</v>
      </c>
      <c r="E100" s="28">
        <f>SUM(F100:J100)</f>
        <v>1</v>
      </c>
      <c r="F100" s="49">
        <v>0</v>
      </c>
      <c r="G100" s="49">
        <v>0</v>
      </c>
      <c r="H100" s="49">
        <v>1</v>
      </c>
      <c r="I100" s="49">
        <v>0</v>
      </c>
      <c r="J100" s="49">
        <v>0</v>
      </c>
      <c r="K100" s="25">
        <f>(H100*5)+(I100*9)+(J100*18)+G100</f>
        <v>5</v>
      </c>
      <c r="L100" s="24">
        <f>(G100*5)+(H100*15)+(I100*30)+(J100*70)+F100</f>
        <v>15</v>
      </c>
      <c r="M100" s="17" cm="1">
        <f t="array" ref="M100">_xlfn.IFS(A100="5lvl2",IF(K100&gt;=35,"No debe",35-K100), A100="5lvl1",IF(L100&gt;=35,"No debe",35-L100))</f>
        <v>30</v>
      </c>
      <c r="N100" s="8"/>
    </row>
    <row r="101" spans="1:14" x14ac:dyDescent="0.25">
      <c r="A101" s="11" t="str">
        <f>IF(ISERROR(VLOOKUP(C101,'Caza lvl 1'!A:A,1,0)),"5lvl2","5lvl1")</f>
        <v>5lvl2</v>
      </c>
      <c r="B101" s="16" t="str">
        <f>_xlfn.IFS(A101 = "5lvl2",IF(K101&gt;=35,"Cumplio", "No cumplio"),A101 = "5lvl1",IF(L101&gt;= 35,"Cumplio","No cumplio"))</f>
        <v>No cumplio</v>
      </c>
      <c r="C101" s="48">
        <v>874666931</v>
      </c>
      <c r="D101" s="48" t="s">
        <v>43</v>
      </c>
      <c r="E101" s="28">
        <f>SUM(F101:J101)</f>
        <v>5</v>
      </c>
      <c r="F101" s="49">
        <v>0</v>
      </c>
      <c r="G101" s="49">
        <v>5</v>
      </c>
      <c r="H101" s="49">
        <v>0</v>
      </c>
      <c r="I101" s="49">
        <v>0</v>
      </c>
      <c r="J101" s="49">
        <v>0</v>
      </c>
      <c r="K101" s="25">
        <f>(H101*5)+(I101*9)+(J101*18)+G101</f>
        <v>5</v>
      </c>
      <c r="L101" s="24">
        <f>(G101*5)+(H101*15)+(I101*30)+(J101*70)+F101</f>
        <v>25</v>
      </c>
      <c r="M101" s="17" cm="1">
        <f t="array" ref="M101">_xlfn.IFS(A101="5lvl2",IF(K101&gt;=35,"No debe",35-K101), A101="5lvl1",IF(L101&gt;=35,"No debe",35-L101))</f>
        <v>30</v>
      </c>
      <c r="N101" s="8"/>
    </row>
    <row r="102" spans="1:14" x14ac:dyDescent="0.25">
      <c r="A102" s="11" t="str">
        <f>IF(ISERROR(VLOOKUP(C102,'Caza lvl 1'!A:A,1,0)),"5lvl2","5lvl1")</f>
        <v>5lvl2</v>
      </c>
      <c r="B102" s="16" t="str">
        <f>_xlfn.IFS(A102 = "5lvl2",IF(K102&gt;=35,"Cumplio", "No cumplio"),A102 = "5lvl1",IF(L102&gt;= 35,"Cumplio","No cumplio"))</f>
        <v>No cumplio</v>
      </c>
      <c r="C102" s="48">
        <v>648763948</v>
      </c>
      <c r="D102" s="48" t="s">
        <v>193</v>
      </c>
      <c r="E102" s="28">
        <f>SUM(F102:J102)</f>
        <v>1</v>
      </c>
      <c r="F102" s="49">
        <v>0</v>
      </c>
      <c r="G102" s="49">
        <v>0</v>
      </c>
      <c r="H102" s="49">
        <v>1</v>
      </c>
      <c r="I102" s="49">
        <v>0</v>
      </c>
      <c r="J102" s="49">
        <v>0</v>
      </c>
      <c r="K102" s="25">
        <f>(H102*5)+(I102*9)+(J102*18)+G102</f>
        <v>5</v>
      </c>
      <c r="L102" s="24">
        <f>(G102*5)+(H102*15)+(I102*30)+(J102*70)+F102</f>
        <v>15</v>
      </c>
      <c r="M102" s="17" cm="1">
        <f t="array" ref="M102">_xlfn.IFS(A102="5lvl2",IF(K102&gt;=35,"No debe",35-K102), A102="5lvl1",IF(L102&gt;=35,"No debe",35-L102))</f>
        <v>30</v>
      </c>
      <c r="N102" s="8"/>
    </row>
    <row r="103" spans="1:14" x14ac:dyDescent="0.25">
      <c r="A103" s="11" t="str">
        <f>IF(ISERROR(VLOOKUP(C103,'Caza lvl 1'!A:A,1,0)),"5lvl2","5lvl1")</f>
        <v>5lvl2</v>
      </c>
      <c r="B103" s="16" t="str">
        <f>_xlfn.IFS(A103 = "5lvl2",IF(K103&gt;=35,"Cumplio", "No cumplio"),A103 = "5lvl1",IF(L103&gt;= 35,"Cumplio","No cumplio"))</f>
        <v>No cumplio</v>
      </c>
      <c r="C103" s="48">
        <v>597879167</v>
      </c>
      <c r="D103" s="48" t="s">
        <v>127</v>
      </c>
      <c r="E103" s="28">
        <f>SUM(F103:J103)</f>
        <v>1</v>
      </c>
      <c r="F103" s="49">
        <v>0</v>
      </c>
      <c r="G103" s="49">
        <v>0</v>
      </c>
      <c r="H103" s="49">
        <v>1</v>
      </c>
      <c r="I103" s="49">
        <v>0</v>
      </c>
      <c r="J103" s="49">
        <v>0</v>
      </c>
      <c r="K103" s="25">
        <f>(H103*5)+(I103*9)+(J103*18)+G103</f>
        <v>5</v>
      </c>
      <c r="L103" s="24">
        <f>(G103*5)+(H103*15)+(I103*30)+(J103*70)+F103</f>
        <v>15</v>
      </c>
      <c r="M103" s="17" cm="1">
        <f t="array" ref="M103">_xlfn.IFS(A103="5lvl2",IF(K103&gt;=35,"No debe",35-K103), A103="5lvl1",IF(L103&gt;=35,"No debe",35-L103))</f>
        <v>30</v>
      </c>
      <c r="N103" s="8"/>
    </row>
    <row r="104" spans="1:14" x14ac:dyDescent="0.25">
      <c r="A104" s="11" t="str">
        <f>IF(ISERROR(VLOOKUP(C104,'Caza lvl 1'!A:A,1,0)),"5lvl2","5lvl1")</f>
        <v>5lvl2</v>
      </c>
      <c r="B104" s="16" t="str">
        <f>_xlfn.IFS(A104 = "5lvl2",IF(K104&gt;=35,"Cumplio", "No cumplio"),A104 = "5lvl1",IF(L104&gt;= 35,"Cumplio","No cumplio"))</f>
        <v>No cumplio</v>
      </c>
      <c r="C104" s="48">
        <v>683679140</v>
      </c>
      <c r="D104" s="48" t="s">
        <v>137</v>
      </c>
      <c r="E104" s="28">
        <f>SUM(F104:J104)</f>
        <v>1</v>
      </c>
      <c r="F104" s="49">
        <v>0</v>
      </c>
      <c r="G104" s="49">
        <v>0</v>
      </c>
      <c r="H104" s="49">
        <v>1</v>
      </c>
      <c r="I104" s="49">
        <v>0</v>
      </c>
      <c r="J104" s="49">
        <v>0</v>
      </c>
      <c r="K104" s="25">
        <f>(H104*5)+(I104*9)+(J104*18)+G104</f>
        <v>5</v>
      </c>
      <c r="L104" s="24">
        <f>(G104*5)+(H104*15)+(I104*30)+(J104*70)+F104</f>
        <v>15</v>
      </c>
      <c r="M104" s="17" cm="1">
        <f t="array" ref="M104">_xlfn.IFS(A104="5lvl2",IF(K104&gt;=35,"No debe",35-K104), A104="5lvl1",IF(L104&gt;=35,"No debe",35-L104))</f>
        <v>30</v>
      </c>
    </row>
    <row r="105" spans="1:14" x14ac:dyDescent="0.25">
      <c r="A105" s="11" t="str">
        <f>IF(ISERROR(VLOOKUP(C105,'Caza lvl 1'!A:A,1,0)),"5lvl2","5lvl1")</f>
        <v>5lvl2</v>
      </c>
      <c r="B105" s="16" t="str">
        <f>_xlfn.IFS(A105 = "5lvl2",IF(K105&gt;=35,"Cumplio", "No cumplio"),A105 = "5lvl1",IF(L105&gt;= 35,"Cumplio","No cumplio"))</f>
        <v>No cumplio</v>
      </c>
      <c r="C105" s="48">
        <v>391188518</v>
      </c>
      <c r="D105" s="48" t="s">
        <v>147</v>
      </c>
      <c r="E105" s="28">
        <f>SUM(F105:J105)</f>
        <v>1</v>
      </c>
      <c r="F105" s="49">
        <v>0</v>
      </c>
      <c r="G105" s="49">
        <v>0</v>
      </c>
      <c r="H105" s="49">
        <v>1</v>
      </c>
      <c r="I105" s="49">
        <v>0</v>
      </c>
      <c r="J105" s="49">
        <v>0</v>
      </c>
      <c r="K105" s="25">
        <f>(H105*5)+(I105*9)+(J105*18)+G105</f>
        <v>5</v>
      </c>
      <c r="L105" s="24">
        <f>(G105*5)+(H105*15)+(I105*30)+(J105*70)+F105</f>
        <v>15</v>
      </c>
      <c r="M105" s="17" cm="1">
        <f t="array" ref="M105">_xlfn.IFS(A105="5lvl2",IF(K105&gt;=35,"No debe",35-K105), A105="5lvl1",IF(L105&gt;=35,"No debe",35-L105))</f>
        <v>30</v>
      </c>
    </row>
    <row r="106" spans="1:14" x14ac:dyDescent="0.25">
      <c r="A106" s="11" t="str">
        <f>IF(ISERROR(VLOOKUP(C106,'Caza lvl 1'!A:A,1,0)),"5lvl2","5lvl1")</f>
        <v>5lvl2</v>
      </c>
      <c r="B106" s="16" t="str">
        <f>_xlfn.IFS(A106 = "5lvl2",IF(K106&gt;=35,"Cumplio", "No cumplio"),A106 = "5lvl1",IF(L106&gt;= 35,"Cumplio","No cumplio"))</f>
        <v>No cumplio</v>
      </c>
      <c r="C106" s="48">
        <v>1401689756</v>
      </c>
      <c r="D106" s="48" t="s">
        <v>197</v>
      </c>
      <c r="E106" s="28">
        <f>SUM(F106:J106)</f>
        <v>3</v>
      </c>
      <c r="F106" s="49">
        <v>0</v>
      </c>
      <c r="G106" s="49">
        <v>3</v>
      </c>
      <c r="H106" s="49">
        <v>0</v>
      </c>
      <c r="I106" s="49">
        <v>0</v>
      </c>
      <c r="J106" s="49">
        <v>0</v>
      </c>
      <c r="K106" s="25">
        <f>(H106*5)+(I106*9)+(J106*18)+G106</f>
        <v>3</v>
      </c>
      <c r="L106" s="24">
        <f>(G106*5)+(H106*15)+(I106*30)+(J106*70)+F106</f>
        <v>15</v>
      </c>
      <c r="M106" s="17" cm="1">
        <f t="array" ref="M106">_xlfn.IFS(A106="5lvl2",IF(K106&gt;=35,"No debe",35-K106), A106="5lvl1",IF(L106&gt;=35,"No debe",35-L106))</f>
        <v>32</v>
      </c>
    </row>
    <row r="107" spans="1:14" x14ac:dyDescent="0.25">
      <c r="A107" s="11" t="str">
        <f>IF(ISERROR(VLOOKUP(C107,'Caza lvl 1'!A:A,1,0)),"5lvl2","5lvl1")</f>
        <v>5lvl2</v>
      </c>
      <c r="B107" s="16" t="str">
        <f>_xlfn.IFS(A107 = "5lvl2",IF(K107&gt;=35,"Cumplio", "No cumplio"),A107 = "5lvl1",IF(L107&gt;= 35,"Cumplio","No cumplio"))</f>
        <v>No cumplio</v>
      </c>
      <c r="C107" s="48">
        <v>2119238620</v>
      </c>
      <c r="D107" s="48" t="s">
        <v>164</v>
      </c>
      <c r="E107" s="28">
        <f>SUM(F107:J107)</f>
        <v>0</v>
      </c>
      <c r="F107" s="49">
        <v>0</v>
      </c>
      <c r="G107" s="49">
        <v>0</v>
      </c>
      <c r="H107" s="49">
        <v>0</v>
      </c>
      <c r="I107" s="49">
        <v>0</v>
      </c>
      <c r="J107" s="49">
        <v>0</v>
      </c>
      <c r="K107" s="25">
        <f>(H107*5)+(I107*9)+(J107*18)+G107</f>
        <v>0</v>
      </c>
      <c r="L107" s="24">
        <f>(G107*5)+(H107*15)+(I107*30)+(J107*70)+F107</f>
        <v>0</v>
      </c>
      <c r="M107" s="17" cm="1">
        <f t="array" ref="M107">_xlfn.IFS(A107="5lvl2",IF(K107&gt;=35,"No debe",35-K107), A107="5lvl1",IF(L107&gt;=35,"No debe",35-L107))</f>
        <v>35</v>
      </c>
    </row>
    <row r="108" spans="1:14" x14ac:dyDescent="0.25">
      <c r="A108" s="11" t="str">
        <f>IF(ISERROR(VLOOKUP(C108,'Caza lvl 1'!A:A,1,0)),"5lvl2","5lvl1")</f>
        <v>5lvl2</v>
      </c>
      <c r="B108" s="16" t="str">
        <f>_xlfn.IFS(A108 = "5lvl2",IF(K108&gt;=35,"Cumplio", "No cumplio"),A108 = "5lvl1",IF(L108&gt;= 35,"Cumplio","No cumplio"))</f>
        <v>No cumplio</v>
      </c>
      <c r="C108" s="48">
        <v>807062911</v>
      </c>
      <c r="D108" s="48" t="s">
        <v>143</v>
      </c>
      <c r="E108" s="28">
        <f>SUM(F108:J108)</f>
        <v>0</v>
      </c>
      <c r="F108" s="49">
        <v>0</v>
      </c>
      <c r="G108" s="49">
        <v>0</v>
      </c>
      <c r="H108" s="49">
        <v>0</v>
      </c>
      <c r="I108" s="49">
        <v>0</v>
      </c>
      <c r="J108" s="49">
        <v>0</v>
      </c>
      <c r="K108" s="25">
        <f>(H108*5)+(I108*9)+(J108*18)+G108</f>
        <v>0</v>
      </c>
      <c r="L108" s="24">
        <f>(G108*5)+(H108*15)+(I108*30)+(J108*70)+F108</f>
        <v>0</v>
      </c>
      <c r="M108" s="17" cm="1">
        <f t="array" ref="M108">_xlfn.IFS(A108="5lvl2",IF(K108&gt;=35,"No debe",35-K108), A108="5lvl1",IF(L108&gt;=35,"No debe",35-L108))</f>
        <v>35</v>
      </c>
    </row>
    <row r="109" spans="1:14" x14ac:dyDescent="0.25">
      <c r="A109" s="11" t="str">
        <f>IF(ISERROR(VLOOKUP(C109,'Caza lvl 1'!A:A,1,0)),"5lvl2","5lvl1")</f>
        <v>5lvl2</v>
      </c>
      <c r="B109" s="16" t="str">
        <f>_xlfn.IFS(A109 = "5lvl2",IF(K109&gt;=35,"Cumplio", "No cumplio"),A109 = "5lvl1",IF(L109&gt;= 35,"Cumplio","No cumplio"))</f>
        <v>No cumplio</v>
      </c>
      <c r="C109" s="48">
        <v>736031655</v>
      </c>
      <c r="D109" s="48" t="s">
        <v>192</v>
      </c>
      <c r="E109" s="28">
        <f>SUM(F109:J109)</f>
        <v>0</v>
      </c>
      <c r="F109" s="49">
        <v>0</v>
      </c>
      <c r="G109" s="49">
        <v>0</v>
      </c>
      <c r="H109" s="49">
        <v>0</v>
      </c>
      <c r="I109" s="49">
        <v>0</v>
      </c>
      <c r="J109" s="49">
        <v>0</v>
      </c>
      <c r="K109" s="25">
        <f>(H109*5)+(I109*9)+(J109*18)+G109</f>
        <v>0</v>
      </c>
      <c r="L109" s="24">
        <f>(G109*5)+(H109*15)+(I109*30)+(J109*70)+F109</f>
        <v>0</v>
      </c>
      <c r="M109" s="17" cm="1">
        <f t="array" ref="M109">_xlfn.IFS(A109="5lvl2",IF(K109&gt;=35,"No debe",35-K109), A109="5lvl1",IF(L109&gt;=35,"No debe",35-L109))</f>
        <v>35</v>
      </c>
    </row>
    <row r="110" spans="1:14" x14ac:dyDescent="0.25">
      <c r="A110" s="11" t="str">
        <f>IF(ISERROR(VLOOKUP(C110,'Caza lvl 1'!A:A,1,0)),"5lvl2","5lvl1")</f>
        <v>5lvl1</v>
      </c>
      <c r="B110" s="16" t="str">
        <f>_xlfn.IFS(A110 = "5lvl2",IF(K110&gt;=35,"Cumplio", "No cumplio"),A110 = "5lvl1",IF(L110&gt;= 35,"Cumplio","No cumplio"))</f>
        <v>Cumplio</v>
      </c>
      <c r="C110" s="48">
        <v>1835847308</v>
      </c>
      <c r="D110" s="48" t="s">
        <v>173</v>
      </c>
      <c r="E110" s="28">
        <f>SUM(F110:J110)</f>
        <v>41</v>
      </c>
      <c r="F110" s="49">
        <v>41</v>
      </c>
      <c r="G110" s="49">
        <v>0</v>
      </c>
      <c r="H110" s="49">
        <v>0</v>
      </c>
      <c r="I110" s="49">
        <v>0</v>
      </c>
      <c r="J110" s="49">
        <v>0</v>
      </c>
      <c r="K110" s="25">
        <f>(H110*5)+(I110*9)+(J110*18)+G110</f>
        <v>0</v>
      </c>
      <c r="L110" s="24">
        <f>(G110*5)+(H110*15)+(I110*30)+(J110*70)+F110</f>
        <v>41</v>
      </c>
      <c r="M110" s="17" t="str" cm="1">
        <f t="array" ref="M110">_xlfn.IFS(A110="5lvl2",IF(K110&gt;=35,"No debe",35-K110), A110="5lvl1",IF(L110&gt;=35,"No debe",35-L110))</f>
        <v>No debe</v>
      </c>
    </row>
    <row r="111" spans="1:14" x14ac:dyDescent="0.25">
      <c r="A111" s="11" t="str">
        <f>IF(ISERROR(VLOOKUP(C111,'Caza lvl 1'!A:A,1,0)),"5lvl2","5lvl1")</f>
        <v>5lvl1</v>
      </c>
      <c r="B111" s="16" t="str">
        <f>_xlfn.IFS(A111 = "5lvl2",IF(K111&gt;=35,"Cumplio", "No cumplio"),A111 = "5lvl1",IF(L111&gt;= 35,"Cumplio","No cumplio"))</f>
        <v>No cumplio</v>
      </c>
      <c r="C111" s="48">
        <v>1940642101</v>
      </c>
      <c r="D111" s="48" t="s">
        <v>106</v>
      </c>
      <c r="E111" s="28">
        <f>SUM(F111:J111)</f>
        <v>0</v>
      </c>
      <c r="F111" s="49">
        <v>0</v>
      </c>
      <c r="G111" s="49">
        <v>0</v>
      </c>
      <c r="H111" s="49">
        <v>0</v>
      </c>
      <c r="I111" s="49">
        <v>0</v>
      </c>
      <c r="J111" s="49">
        <v>0</v>
      </c>
      <c r="K111" s="25">
        <f>(H111*5)+(I111*9)+(J111*18)+G111</f>
        <v>0</v>
      </c>
      <c r="L111" s="24">
        <f>(G111*5)+(H111*15)+(I111*30)+(J111*70)+F111</f>
        <v>0</v>
      </c>
      <c r="M111" s="17" cm="1">
        <f t="array" ref="M111">_xlfn.IFS(A111="5lvl2",IF(K111&gt;=35,"No debe",35-K111), A111="5lvl1",IF(L111&gt;=35,"No debe",35-L111))</f>
        <v>35</v>
      </c>
    </row>
    <row r="112" spans="1:14" x14ac:dyDescent="0.25">
      <c r="A112" s="11" t="str">
        <f>IF(ISERROR(VLOOKUP(C112,'Caza lvl 1'!A:A,1,0)),"5lvl2","5lvl1")</f>
        <v>5lvl1</v>
      </c>
      <c r="B112" s="16" t="str">
        <f>_xlfn.IFS(A112 = "5lvl2",IF(K112&gt;=35,"Cumplio", "No cumplio"),A112 = "5lvl1",IF(L112&gt;= 35,"Cumplio","No cumplio"))</f>
        <v>No cumplio</v>
      </c>
      <c r="C112" s="48">
        <v>677690297</v>
      </c>
      <c r="D112" s="48" t="s">
        <v>17</v>
      </c>
      <c r="E112" s="28">
        <f>SUM(F112:J112)</f>
        <v>0</v>
      </c>
      <c r="F112" s="49">
        <v>0</v>
      </c>
      <c r="G112" s="49">
        <v>0</v>
      </c>
      <c r="H112" s="49">
        <v>0</v>
      </c>
      <c r="I112" s="49">
        <v>0</v>
      </c>
      <c r="J112" s="49">
        <v>0</v>
      </c>
      <c r="K112" s="25">
        <f>(H112*5)+(I112*9)+(J112*18)+G112</f>
        <v>0</v>
      </c>
      <c r="L112" s="24">
        <f>(G112*5)+(H112*15)+(I112*30)+(J112*70)+F112</f>
        <v>0</v>
      </c>
      <c r="M112" s="17" cm="1">
        <f t="array" ref="M112">_xlfn.IFS(A112="5lvl2",IF(K112&gt;=35,"No debe",35-K112), A112="5lvl1",IF(L112&gt;=35,"No debe",35-L112))</f>
        <v>35</v>
      </c>
    </row>
    <row r="113" spans="1:13" x14ac:dyDescent="0.25">
      <c r="A113" s="11" t="str">
        <f>IF(ISERROR(VLOOKUP(C113,'Caza lvl 1'!A:A,1,0)),"5lvl2","5lvl1")</f>
        <v>5lvl2</v>
      </c>
      <c r="B113" s="16" t="str">
        <f>_xlfn.IFS(A113 = "5lvl2",IF(K113&gt;=35,"Cumplio", "No cumplio"),A113 = "5lvl1",IF(L113&gt;= 35,"Cumplio","No cumplio"))</f>
        <v>No cumplio</v>
      </c>
      <c r="C113" s="48">
        <v>0</v>
      </c>
      <c r="D113" s="48" t="s">
        <v>116</v>
      </c>
      <c r="E113" s="28">
        <f>SUM(F113:J113)</f>
        <v>0</v>
      </c>
      <c r="F113" s="49">
        <v>0</v>
      </c>
      <c r="G113" s="49">
        <v>0</v>
      </c>
      <c r="H113" s="49">
        <v>0</v>
      </c>
      <c r="I113" s="49">
        <v>0</v>
      </c>
      <c r="J113" s="49">
        <v>0</v>
      </c>
      <c r="K113" s="25">
        <f>(H113*5)+(I113*9)+(J113*18)+G113</f>
        <v>0</v>
      </c>
      <c r="L113" s="24">
        <f>(G113*5)+(H113*15)+(I113*30)+(J113*70)+F113</f>
        <v>0</v>
      </c>
      <c r="M113" s="17" cm="1">
        <f t="array" ref="M113">_xlfn.IFS(A113="5lvl2",IF(K113&gt;=35,"No debe",35-K113), A113="5lvl1",IF(L113&gt;=35,"No debe",35-L113))</f>
        <v>35</v>
      </c>
    </row>
  </sheetData>
  <autoFilter ref="A4:M113" xr:uid="{69F4E31B-89C1-4409-9A86-5CBD30F5EBA1}">
    <sortState xmlns:xlrd2="http://schemas.microsoft.com/office/spreadsheetml/2017/richdata2" ref="A5:M113">
      <sortCondition descending="1" ref="K4:K113"/>
    </sortState>
  </autoFilter>
  <conditionalFormatting sqref="B5:C59 B60:B113">
    <cfRule type="beginsWith" dxfId="188" priority="4" operator="beginsWith" text="Cumplio">
      <formula>LEFT(B5,LEN("Cumplio"))="Cumplio"</formula>
    </cfRule>
    <cfRule type="containsText" dxfId="187" priority="5" operator="containsText" text="No cumplio">
      <formula>NOT(ISERROR(SEARCH("No cumplio",B5)))</formula>
    </cfRule>
  </conditionalFormatting>
  <conditionalFormatting sqref="C1:D1048576">
    <cfRule type="duplicateValues" dxfId="186" priority="166"/>
  </conditionalFormatting>
  <conditionalFormatting sqref="M5:M113">
    <cfRule type="cellIs" dxfId="185" priority="2" operator="between">
      <formula>1</formula>
      <formula>9999999</formula>
    </cfRule>
    <cfRule type="containsText" dxfId="184" priority="3" operator="containsText" text="No debe">
      <formula>NOT(ISERROR(SEARCH("No debe",M5)))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5A9D-A059-4BB3-964A-E1078E880C04}">
  <dimension ref="A1:J115"/>
  <sheetViews>
    <sheetView workbookViewId="0">
      <selection activeCell="H10" sqref="H10"/>
    </sheetView>
  </sheetViews>
  <sheetFormatPr baseColWidth="10" defaultRowHeight="15" x14ac:dyDescent="0.25"/>
  <cols>
    <col min="1" max="1" width="4" bestFit="1" customWidth="1"/>
    <col min="2" max="2" width="15.42578125" bestFit="1" customWidth="1"/>
    <col min="3" max="3" width="15.42578125" customWidth="1"/>
    <col min="4" max="7" width="21.7109375" bestFit="1" customWidth="1"/>
    <col min="8" max="8" width="21.7109375" customWidth="1"/>
  </cols>
  <sheetData>
    <row r="1" spans="1:10" x14ac:dyDescent="0.25">
      <c r="A1" s="4" t="s">
        <v>8</v>
      </c>
      <c r="B1" s="2" t="s">
        <v>57</v>
      </c>
      <c r="C1" s="2" t="s">
        <v>0</v>
      </c>
      <c r="D1" s="33" t="s">
        <v>185</v>
      </c>
      <c r="E1" s="33" t="s">
        <v>200</v>
      </c>
      <c r="F1" s="33"/>
      <c r="G1" s="27"/>
      <c r="H1" s="27"/>
      <c r="I1" s="18" t="s">
        <v>1</v>
      </c>
      <c r="J1" t="s">
        <v>178</v>
      </c>
    </row>
    <row r="2" spans="1:10" x14ac:dyDescent="0.25">
      <c r="A2" s="12">
        <v>1</v>
      </c>
      <c r="B2" s="48">
        <v>884346374</v>
      </c>
      <c r="C2" s="48" t="s">
        <v>126</v>
      </c>
      <c r="D2" s="19">
        <f>IFERROR(VLOOKUP(B2,'10-05-2026'!C:K,9,0), 0)</f>
        <v>162</v>
      </c>
      <c r="E2" s="19">
        <f>IFERROR(VLOOKUP(B2,Caza!C:K,9,0), 0)</f>
        <v>68</v>
      </c>
      <c r="F2" s="19"/>
      <c r="G2" s="19"/>
      <c r="H2" s="19"/>
      <c r="I2" s="23">
        <f>SUM(D2:H2)</f>
        <v>230</v>
      </c>
      <c r="J2" s="41"/>
    </row>
    <row r="3" spans="1:10" x14ac:dyDescent="0.25">
      <c r="A3" s="12">
        <v>2</v>
      </c>
      <c r="B3" s="48">
        <v>527890484</v>
      </c>
      <c r="C3" s="48" t="s">
        <v>118</v>
      </c>
      <c r="D3" s="19">
        <f>IFERROR(VLOOKUP(B3,'10-05-2026'!C:K,9,0), 0)</f>
        <v>120</v>
      </c>
      <c r="E3" s="19">
        <f>IFERROR(VLOOKUP(B3,Caza!C:K,9,0), 0)</f>
        <v>61</v>
      </c>
      <c r="F3" s="19"/>
      <c r="G3" s="19"/>
      <c r="H3" s="19"/>
      <c r="I3" s="23">
        <f>SUM(D3:H3)</f>
        <v>181</v>
      </c>
    </row>
    <row r="4" spans="1:10" x14ac:dyDescent="0.25">
      <c r="A4" s="12">
        <v>3</v>
      </c>
      <c r="B4" s="48">
        <v>1023770253</v>
      </c>
      <c r="C4" s="48" t="s">
        <v>73</v>
      </c>
      <c r="D4" s="19">
        <f>IFERROR(VLOOKUP(B4,'10-05-2026'!C:K,9,0), 0)</f>
        <v>71</v>
      </c>
      <c r="E4" s="19">
        <f>IFERROR(VLOOKUP(B4,Caza!C:K,9,0), 0)</f>
        <v>101</v>
      </c>
      <c r="F4" s="19"/>
      <c r="G4" s="19"/>
      <c r="H4" s="19"/>
      <c r="I4" s="23">
        <f>SUM(D4:H4)</f>
        <v>172</v>
      </c>
    </row>
    <row r="5" spans="1:10" x14ac:dyDescent="0.25">
      <c r="A5" s="12">
        <v>4</v>
      </c>
      <c r="B5" s="48">
        <v>500920417</v>
      </c>
      <c r="C5" s="48" t="s">
        <v>123</v>
      </c>
      <c r="D5" s="19">
        <f>IFERROR(VLOOKUP(B5,'10-05-2026'!C:K,9,0), 0)</f>
        <v>85</v>
      </c>
      <c r="E5" s="19">
        <f>IFERROR(VLOOKUP(B5,Caza!C:K,9,0), 0)</f>
        <v>85</v>
      </c>
      <c r="F5" s="19"/>
      <c r="G5" s="19"/>
      <c r="H5" s="19"/>
      <c r="I5" s="23">
        <f>SUM(D5:H5)</f>
        <v>170</v>
      </c>
    </row>
    <row r="6" spans="1:10" x14ac:dyDescent="0.25">
      <c r="A6" s="12">
        <v>5</v>
      </c>
      <c r="B6" s="48">
        <v>559847999</v>
      </c>
      <c r="C6" s="48" t="s">
        <v>6</v>
      </c>
      <c r="D6" s="19">
        <f>IFERROR(VLOOKUP(B6,'10-05-2026'!C:K,9,0), 0)</f>
        <v>86</v>
      </c>
      <c r="E6" s="19">
        <f>IFERROR(VLOOKUP(B6,Caza!C:K,9,0), 0)</f>
        <v>71</v>
      </c>
      <c r="F6" s="19"/>
      <c r="G6" s="19"/>
      <c r="H6" s="19"/>
      <c r="I6" s="23">
        <f>SUM(D6:H6)</f>
        <v>157</v>
      </c>
    </row>
    <row r="7" spans="1:10" x14ac:dyDescent="0.25">
      <c r="A7" s="12">
        <v>6</v>
      </c>
      <c r="B7" s="48">
        <v>516441517</v>
      </c>
      <c r="C7" s="48" t="s">
        <v>133</v>
      </c>
      <c r="D7" s="19">
        <f>IFERROR(VLOOKUP(B7,'10-05-2026'!C:K,9,0), 0)</f>
        <v>67</v>
      </c>
      <c r="E7" s="19">
        <f>IFERROR(VLOOKUP(B7,Caza!C:K,9,0), 0)</f>
        <v>75</v>
      </c>
      <c r="F7" s="19"/>
      <c r="G7" s="19"/>
      <c r="H7" s="19"/>
      <c r="I7" s="23">
        <f>SUM(D7:H7)</f>
        <v>142</v>
      </c>
    </row>
    <row r="8" spans="1:10" x14ac:dyDescent="0.25">
      <c r="A8" s="12">
        <v>7</v>
      </c>
      <c r="B8" s="48">
        <v>334846462</v>
      </c>
      <c r="C8" s="48" t="s">
        <v>158</v>
      </c>
      <c r="D8" s="19">
        <f>IFERROR(VLOOKUP(B8,'10-05-2026'!C:K,9,0), 0)</f>
        <v>97</v>
      </c>
      <c r="E8" s="19">
        <f>IFERROR(VLOOKUP(B8,Caza!C:K,9,0), 0)</f>
        <v>35</v>
      </c>
      <c r="F8" s="19"/>
      <c r="G8" s="19"/>
      <c r="H8" s="19"/>
      <c r="I8" s="23">
        <f>SUM(D8:H8)</f>
        <v>132</v>
      </c>
    </row>
    <row r="9" spans="1:10" x14ac:dyDescent="0.25">
      <c r="A9" s="12">
        <v>8</v>
      </c>
      <c r="B9" s="48">
        <v>710619616</v>
      </c>
      <c r="C9" s="48" t="s">
        <v>125</v>
      </c>
      <c r="D9" s="19">
        <f>IFERROR(VLOOKUP(B9,'10-05-2026'!C:K,9,0), 0)</f>
        <v>60</v>
      </c>
      <c r="E9" s="19">
        <f>IFERROR(VLOOKUP(B9,Caza!C:K,9,0), 0)</f>
        <v>72</v>
      </c>
      <c r="F9" s="19"/>
      <c r="G9" s="19"/>
      <c r="H9" s="19"/>
      <c r="I9" s="23">
        <f>SUM(D9:H9)</f>
        <v>132</v>
      </c>
    </row>
    <row r="10" spans="1:10" x14ac:dyDescent="0.25">
      <c r="A10" s="12">
        <v>9</v>
      </c>
      <c r="B10" s="48">
        <v>376342700</v>
      </c>
      <c r="C10" s="48" t="s">
        <v>140</v>
      </c>
      <c r="D10" s="19">
        <f>IFERROR(VLOOKUP(B10,'10-05-2026'!C:K,9,0), 0)</f>
        <v>70</v>
      </c>
      <c r="E10" s="19">
        <f>IFERROR(VLOOKUP(B10,Caza!C:K,9,0), 0)</f>
        <v>61</v>
      </c>
      <c r="F10" s="19"/>
      <c r="G10" s="19"/>
      <c r="H10" s="19"/>
      <c r="I10" s="23">
        <f>SUM(D10:H10)</f>
        <v>131</v>
      </c>
    </row>
    <row r="11" spans="1:10" x14ac:dyDescent="0.25">
      <c r="A11" s="12">
        <v>10</v>
      </c>
      <c r="B11" s="48">
        <v>424972261</v>
      </c>
      <c r="C11" s="48" t="s">
        <v>150</v>
      </c>
      <c r="D11" s="19">
        <f>IFERROR(VLOOKUP(B11,'10-05-2026'!C:K,9,0), 0)</f>
        <v>71</v>
      </c>
      <c r="E11" s="19">
        <f>IFERROR(VLOOKUP(B11,Caza!C:K,9,0), 0)</f>
        <v>60</v>
      </c>
      <c r="F11" s="19"/>
      <c r="G11" s="19"/>
      <c r="H11" s="19"/>
      <c r="I11" s="23">
        <f>SUM(D11:H11)</f>
        <v>131</v>
      </c>
    </row>
    <row r="12" spans="1:10" x14ac:dyDescent="0.25">
      <c r="A12" s="12">
        <v>11</v>
      </c>
      <c r="B12" s="48">
        <v>471968668</v>
      </c>
      <c r="C12" s="48" t="s">
        <v>176</v>
      </c>
      <c r="D12" s="19">
        <f>IFERROR(VLOOKUP(B12,'10-05-2026'!C:K,9,0), 0)</f>
        <v>90</v>
      </c>
      <c r="E12" s="19">
        <f>IFERROR(VLOOKUP(B12,Caza!C:K,9,0), 0)</f>
        <v>40</v>
      </c>
      <c r="F12" s="19"/>
      <c r="G12" s="19"/>
      <c r="H12" s="19"/>
      <c r="I12" s="23">
        <f>SUM(D12:H12)</f>
        <v>130</v>
      </c>
    </row>
    <row r="13" spans="1:10" x14ac:dyDescent="0.25">
      <c r="A13" s="12">
        <v>12</v>
      </c>
      <c r="B13" s="48">
        <v>658843231</v>
      </c>
      <c r="C13" s="48" t="s">
        <v>74</v>
      </c>
      <c r="D13" s="19">
        <f>IFERROR(VLOOKUP(B13,'10-05-2026'!C:K,9,0), 0)</f>
        <v>90</v>
      </c>
      <c r="E13" s="19">
        <f>IFERROR(VLOOKUP(B13,Caza!C:K,9,0), 0)</f>
        <v>39</v>
      </c>
      <c r="F13" s="19"/>
      <c r="G13" s="19"/>
      <c r="H13" s="19"/>
      <c r="I13" s="23">
        <f>SUM(D13:H13)</f>
        <v>129</v>
      </c>
    </row>
    <row r="14" spans="1:10" x14ac:dyDescent="0.25">
      <c r="A14" s="12">
        <v>13</v>
      </c>
      <c r="B14" s="48">
        <v>1529804845</v>
      </c>
      <c r="C14" s="48" t="s">
        <v>132</v>
      </c>
      <c r="D14" s="19">
        <f>IFERROR(VLOOKUP(B14,'10-05-2026'!C:K,9,0), 0)</f>
        <v>50</v>
      </c>
      <c r="E14" s="19">
        <f>IFERROR(VLOOKUP(B14,Caza!C:K,9,0), 0)</f>
        <v>72</v>
      </c>
      <c r="F14" s="19"/>
      <c r="G14" s="19"/>
      <c r="H14" s="19"/>
      <c r="I14" s="23">
        <f>SUM(D14:H14)</f>
        <v>122</v>
      </c>
    </row>
    <row r="15" spans="1:10" x14ac:dyDescent="0.25">
      <c r="A15" s="12">
        <v>14</v>
      </c>
      <c r="B15" s="48">
        <v>611721390</v>
      </c>
      <c r="C15" s="48" t="s">
        <v>89</v>
      </c>
      <c r="D15" s="19">
        <f>IFERROR(VLOOKUP(B15,'10-05-2026'!C:K,9,0), 0)</f>
        <v>85</v>
      </c>
      <c r="E15" s="19">
        <f>IFERROR(VLOOKUP(B15,Caza!C:K,9,0), 0)</f>
        <v>36</v>
      </c>
      <c r="F15" s="19"/>
      <c r="G15" s="19"/>
      <c r="H15" s="19"/>
      <c r="I15" s="23">
        <f>SUM(D15:H15)</f>
        <v>121</v>
      </c>
    </row>
    <row r="16" spans="1:10" x14ac:dyDescent="0.25">
      <c r="A16" s="12">
        <v>15</v>
      </c>
      <c r="B16" s="48">
        <v>640955210</v>
      </c>
      <c r="C16" s="48" t="s">
        <v>175</v>
      </c>
      <c r="D16" s="19">
        <f>IFERROR(VLOOKUP(B16,'10-05-2026'!C:K,9,0), 0)</f>
        <v>73</v>
      </c>
      <c r="E16" s="19">
        <f>IFERROR(VLOOKUP(B16,Caza!C:K,9,0), 0)</f>
        <v>48</v>
      </c>
      <c r="F16" s="19"/>
      <c r="G16" s="19"/>
      <c r="H16" s="19"/>
      <c r="I16" s="23">
        <f>SUM(D16:H16)</f>
        <v>121</v>
      </c>
    </row>
    <row r="17" spans="1:9" x14ac:dyDescent="0.25">
      <c r="A17" s="12">
        <v>16</v>
      </c>
      <c r="B17" s="48">
        <v>723725687</v>
      </c>
      <c r="C17" s="48" t="s">
        <v>71</v>
      </c>
      <c r="D17" s="19">
        <f>IFERROR(VLOOKUP(B17,'10-05-2026'!C:K,9,0), 0)</f>
        <v>71</v>
      </c>
      <c r="E17" s="19">
        <f>IFERROR(VLOOKUP(B17,Caza!C:K,9,0), 0)</f>
        <v>48</v>
      </c>
      <c r="F17" s="19"/>
      <c r="G17" s="19"/>
      <c r="H17" s="19"/>
      <c r="I17" s="23">
        <f>SUM(D17:H17)</f>
        <v>119</v>
      </c>
    </row>
    <row r="18" spans="1:9" x14ac:dyDescent="0.25">
      <c r="A18" s="12">
        <v>17</v>
      </c>
      <c r="B18" s="48">
        <v>689257712</v>
      </c>
      <c r="C18" s="48" t="s">
        <v>121</v>
      </c>
      <c r="D18" s="19">
        <f>IFERROR(VLOOKUP(B18,'10-05-2026'!C:K,9,0), 0)</f>
        <v>66</v>
      </c>
      <c r="E18" s="19">
        <f>IFERROR(VLOOKUP(B18,Caza!C:K,9,0), 0)</f>
        <v>53</v>
      </c>
      <c r="F18" s="19"/>
      <c r="G18" s="19"/>
      <c r="H18" s="19"/>
      <c r="I18" s="23">
        <f>SUM(D18:H18)</f>
        <v>119</v>
      </c>
    </row>
    <row r="19" spans="1:9" x14ac:dyDescent="0.25">
      <c r="A19" s="12">
        <v>18</v>
      </c>
      <c r="B19" s="48">
        <v>1092680272</v>
      </c>
      <c r="C19" s="48" t="s">
        <v>72</v>
      </c>
      <c r="D19" s="19">
        <f>IFERROR(VLOOKUP(B19,'10-05-2026'!C:K,9,0), 0)</f>
        <v>50</v>
      </c>
      <c r="E19" s="19">
        <f>IFERROR(VLOOKUP(B19,Caza!C:K,9,0), 0)</f>
        <v>68</v>
      </c>
      <c r="F19" s="19"/>
      <c r="G19" s="19"/>
      <c r="H19" s="19"/>
      <c r="I19" s="23">
        <f>SUM(D19:H19)</f>
        <v>118</v>
      </c>
    </row>
    <row r="20" spans="1:9" x14ac:dyDescent="0.25">
      <c r="A20" s="12">
        <v>19</v>
      </c>
      <c r="B20" s="48">
        <v>969689378</v>
      </c>
      <c r="C20" s="48" t="s">
        <v>179</v>
      </c>
      <c r="D20" s="19">
        <f>IFERROR(VLOOKUP(B20,'10-05-2026'!C:K,9,0), 0)</f>
        <v>62</v>
      </c>
      <c r="E20" s="19">
        <f>IFERROR(VLOOKUP(B20,Caza!C:K,9,0), 0)</f>
        <v>52</v>
      </c>
      <c r="F20" s="19"/>
      <c r="G20" s="19"/>
      <c r="H20" s="19"/>
      <c r="I20" s="23">
        <f>SUM(D20:H20)</f>
        <v>114</v>
      </c>
    </row>
    <row r="21" spans="1:9" x14ac:dyDescent="0.25">
      <c r="A21" s="12">
        <v>20</v>
      </c>
      <c r="B21" s="48">
        <v>1346964807</v>
      </c>
      <c r="C21" s="48" t="s">
        <v>131</v>
      </c>
      <c r="D21" s="19">
        <f>IFERROR(VLOOKUP(B21,'10-05-2026'!C:K,9,0), 0)</f>
        <v>49</v>
      </c>
      <c r="E21" s="19">
        <f>IFERROR(VLOOKUP(B21,Caza!C:K,9,0), 0)</f>
        <v>63</v>
      </c>
      <c r="F21" s="19"/>
      <c r="G21" s="19"/>
      <c r="H21" s="19"/>
      <c r="I21" s="23">
        <f>SUM(D21:H21)</f>
        <v>112</v>
      </c>
    </row>
    <row r="22" spans="1:9" x14ac:dyDescent="0.25">
      <c r="A22" s="12">
        <v>21</v>
      </c>
      <c r="B22" s="48">
        <v>1040607318</v>
      </c>
      <c r="C22" s="48" t="s">
        <v>148</v>
      </c>
      <c r="D22" s="19">
        <f>IFERROR(VLOOKUP(B22,'10-05-2026'!C:K,9,0), 0)</f>
        <v>51</v>
      </c>
      <c r="E22" s="19">
        <f>IFERROR(VLOOKUP(B22,Caza!C:K,9,0), 0)</f>
        <v>60</v>
      </c>
      <c r="F22" s="19"/>
      <c r="G22" s="19"/>
      <c r="H22" s="19"/>
      <c r="I22" s="23">
        <f>SUM(D22:H22)</f>
        <v>111</v>
      </c>
    </row>
    <row r="23" spans="1:9" x14ac:dyDescent="0.25">
      <c r="A23" s="12">
        <v>22</v>
      </c>
      <c r="B23" s="48">
        <v>852051372</v>
      </c>
      <c r="C23" s="48" t="s">
        <v>152</v>
      </c>
      <c r="D23" s="19">
        <f>IFERROR(VLOOKUP(B23,'10-05-2026'!C:K,9,0), 0)</f>
        <v>80</v>
      </c>
      <c r="E23" s="19">
        <f>IFERROR(VLOOKUP(B23,Caza!C:K,9,0), 0)</f>
        <v>27</v>
      </c>
      <c r="F23" s="19"/>
      <c r="G23" s="19"/>
      <c r="H23" s="19"/>
      <c r="I23" s="23">
        <f>SUM(D23:H23)</f>
        <v>107</v>
      </c>
    </row>
    <row r="24" spans="1:9" x14ac:dyDescent="0.25">
      <c r="A24" s="12">
        <v>23</v>
      </c>
      <c r="B24" s="48">
        <v>663429510</v>
      </c>
      <c r="C24" s="48" t="s">
        <v>138</v>
      </c>
      <c r="D24" s="19">
        <f>IFERROR(VLOOKUP(B24,'10-05-2026'!C:K,9,0), 0)</f>
        <v>34</v>
      </c>
      <c r="E24" s="19">
        <f>IFERROR(VLOOKUP(B24,Caza!C:K,9,0), 0)</f>
        <v>69</v>
      </c>
      <c r="F24" s="19"/>
      <c r="G24" s="19"/>
      <c r="H24" s="19"/>
      <c r="I24" s="23">
        <f>SUM(D24:H24)</f>
        <v>103</v>
      </c>
    </row>
    <row r="25" spans="1:9" x14ac:dyDescent="0.25">
      <c r="A25" s="12">
        <v>24</v>
      </c>
      <c r="B25" s="48">
        <v>605950874</v>
      </c>
      <c r="C25" s="48" t="s">
        <v>149</v>
      </c>
      <c r="D25" s="19">
        <f>IFERROR(VLOOKUP(B25,'10-05-2026'!C:K,9,0), 0)</f>
        <v>53</v>
      </c>
      <c r="E25" s="19">
        <f>IFERROR(VLOOKUP(B25,Caza!C:K,9,0), 0)</f>
        <v>49</v>
      </c>
      <c r="F25" s="19"/>
      <c r="G25" s="19"/>
      <c r="H25" s="19"/>
      <c r="I25" s="23">
        <f>SUM(D25:H25)</f>
        <v>102</v>
      </c>
    </row>
    <row r="26" spans="1:9" x14ac:dyDescent="0.25">
      <c r="A26" s="12">
        <v>25</v>
      </c>
      <c r="B26" s="48">
        <v>1276495104</v>
      </c>
      <c r="C26" s="48" t="s">
        <v>144</v>
      </c>
      <c r="D26" s="19">
        <f>IFERROR(VLOOKUP(B26,'10-05-2026'!C:K,9,0), 0)</f>
        <v>47</v>
      </c>
      <c r="E26" s="19">
        <f>IFERROR(VLOOKUP(B26,Caza!C:K,9,0), 0)</f>
        <v>53</v>
      </c>
      <c r="F26" s="19"/>
      <c r="G26" s="19"/>
      <c r="H26" s="19"/>
      <c r="I26" s="23">
        <f>SUM(D26:H26)</f>
        <v>100</v>
      </c>
    </row>
    <row r="27" spans="1:9" x14ac:dyDescent="0.25">
      <c r="A27" s="12">
        <v>26</v>
      </c>
      <c r="B27" s="48">
        <v>701806212</v>
      </c>
      <c r="C27" s="48" t="s">
        <v>114</v>
      </c>
      <c r="D27" s="19">
        <f>IFERROR(VLOOKUP(B27,'10-05-2026'!C:K,9,0), 0)</f>
        <v>64</v>
      </c>
      <c r="E27" s="19">
        <f>IFERROR(VLOOKUP(B27,Caza!C:K,9,0), 0)</f>
        <v>36</v>
      </c>
      <c r="F27" s="19"/>
      <c r="G27" s="19"/>
      <c r="H27" s="19"/>
      <c r="I27" s="23">
        <f>SUM(D27:H27)</f>
        <v>100</v>
      </c>
    </row>
    <row r="28" spans="1:9" x14ac:dyDescent="0.25">
      <c r="A28" s="12">
        <v>27</v>
      </c>
      <c r="B28" s="48">
        <v>1112847542</v>
      </c>
      <c r="C28" s="48" t="s">
        <v>122</v>
      </c>
      <c r="D28" s="19">
        <f>IFERROR(VLOOKUP(B28,'10-05-2026'!C:K,9,0), 0)</f>
        <v>41</v>
      </c>
      <c r="E28" s="19">
        <f>IFERROR(VLOOKUP(B28,Caza!C:K,9,0), 0)</f>
        <v>58</v>
      </c>
      <c r="F28" s="19"/>
      <c r="G28" s="19"/>
      <c r="H28" s="19"/>
      <c r="I28" s="23">
        <f>SUM(D28:H28)</f>
        <v>99</v>
      </c>
    </row>
    <row r="29" spans="1:9" x14ac:dyDescent="0.25">
      <c r="A29" s="12">
        <v>28</v>
      </c>
      <c r="B29" s="48">
        <v>804415402</v>
      </c>
      <c r="C29" s="48" t="s">
        <v>80</v>
      </c>
      <c r="D29" s="19">
        <f>IFERROR(VLOOKUP(B29,'10-05-2026'!C:K,9,0), 0)</f>
        <v>46</v>
      </c>
      <c r="E29" s="19">
        <f>IFERROR(VLOOKUP(B29,Caza!C:K,9,0), 0)</f>
        <v>52</v>
      </c>
      <c r="F29" s="19"/>
      <c r="G29" s="19"/>
      <c r="H29" s="19"/>
      <c r="I29" s="23">
        <f>SUM(D29:H29)</f>
        <v>98</v>
      </c>
    </row>
    <row r="30" spans="1:9" x14ac:dyDescent="0.25">
      <c r="A30" s="12">
        <v>29</v>
      </c>
      <c r="B30" s="48">
        <v>1041184896</v>
      </c>
      <c r="C30" s="48" t="s">
        <v>174</v>
      </c>
      <c r="D30" s="19">
        <f>IFERROR(VLOOKUP(B30,'10-05-2026'!C:K,9,0), 0)</f>
        <v>47</v>
      </c>
      <c r="E30" s="19">
        <f>IFERROR(VLOOKUP(B30,Caza!C:K,9,0), 0)</f>
        <v>49</v>
      </c>
      <c r="F30" s="19"/>
      <c r="G30" s="19"/>
      <c r="H30" s="19"/>
      <c r="I30" s="23">
        <f>SUM(D30:H30)</f>
        <v>96</v>
      </c>
    </row>
    <row r="31" spans="1:9" x14ac:dyDescent="0.25">
      <c r="A31" s="12">
        <v>30</v>
      </c>
      <c r="B31" s="48">
        <v>677616563</v>
      </c>
      <c r="C31" s="48" t="s">
        <v>172</v>
      </c>
      <c r="D31" s="19">
        <f>IFERROR(VLOOKUP(B31,'10-05-2026'!C:K,9,0), 0)</f>
        <v>47</v>
      </c>
      <c r="E31" s="19">
        <f>IFERROR(VLOOKUP(B31,Caza!C:K,9,0), 0)</f>
        <v>46</v>
      </c>
      <c r="F31" s="19"/>
      <c r="G31" s="19"/>
      <c r="H31" s="19"/>
      <c r="I31" s="23">
        <f>SUM(D31:H31)</f>
        <v>93</v>
      </c>
    </row>
    <row r="32" spans="1:9" x14ac:dyDescent="0.25">
      <c r="A32" s="12">
        <v>31</v>
      </c>
      <c r="B32" s="48">
        <v>368989323</v>
      </c>
      <c r="C32" s="48" t="s">
        <v>30</v>
      </c>
      <c r="D32" s="19">
        <f>IFERROR(VLOOKUP(B32,'10-05-2026'!C:K,9,0), 0)</f>
        <v>45</v>
      </c>
      <c r="E32" s="19">
        <f>IFERROR(VLOOKUP(B32,Caza!C:K,9,0), 0)</f>
        <v>42</v>
      </c>
      <c r="F32" s="19"/>
      <c r="G32" s="19"/>
      <c r="H32" s="19"/>
      <c r="I32" s="23">
        <f>SUM(D32:H32)</f>
        <v>87</v>
      </c>
    </row>
    <row r="33" spans="1:9" x14ac:dyDescent="0.25">
      <c r="A33" s="12">
        <v>32</v>
      </c>
      <c r="B33" s="48">
        <v>1040942817</v>
      </c>
      <c r="C33" s="48" t="s">
        <v>124</v>
      </c>
      <c r="D33" s="19">
        <f>IFERROR(VLOOKUP(B33,'10-05-2026'!C:K,9,0), 0)</f>
        <v>40</v>
      </c>
      <c r="E33" s="19">
        <f>IFERROR(VLOOKUP(B33,Caza!C:K,9,0), 0)</f>
        <v>45</v>
      </c>
      <c r="F33" s="19"/>
      <c r="G33" s="19"/>
      <c r="H33" s="19"/>
      <c r="I33" s="23">
        <f>SUM(D33:H33)</f>
        <v>85</v>
      </c>
    </row>
    <row r="34" spans="1:9" x14ac:dyDescent="0.25">
      <c r="A34" s="12">
        <v>33</v>
      </c>
      <c r="B34" s="48">
        <v>346561690</v>
      </c>
      <c r="C34" s="48" t="s">
        <v>24</v>
      </c>
      <c r="D34" s="19">
        <f>IFERROR(VLOOKUP(B34,'10-05-2026'!C:K,9,0), 0)</f>
        <v>49</v>
      </c>
      <c r="E34" s="19">
        <f>IFERROR(VLOOKUP(B34,Caza!C:K,9,0), 0)</f>
        <v>36</v>
      </c>
      <c r="F34" s="19"/>
      <c r="G34" s="19"/>
      <c r="H34" s="19"/>
      <c r="I34" s="23">
        <f>SUM(D34:H34)</f>
        <v>85</v>
      </c>
    </row>
    <row r="35" spans="1:9" x14ac:dyDescent="0.25">
      <c r="A35" s="12">
        <v>34</v>
      </c>
      <c r="B35" s="48">
        <v>326455645</v>
      </c>
      <c r="C35" s="48" t="s">
        <v>26</v>
      </c>
      <c r="D35" s="19">
        <f>IFERROR(VLOOKUP(B35,'10-05-2026'!C:K,9,0), 0)</f>
        <v>50</v>
      </c>
      <c r="E35" s="19">
        <f>IFERROR(VLOOKUP(B35,Caza!C:K,9,0), 0)</f>
        <v>35</v>
      </c>
      <c r="F35" s="19"/>
      <c r="G35" s="19"/>
      <c r="H35" s="19"/>
      <c r="I35" s="23">
        <f>SUM(D35:H35)</f>
        <v>85</v>
      </c>
    </row>
    <row r="36" spans="1:9" x14ac:dyDescent="0.25">
      <c r="A36" s="12">
        <v>35</v>
      </c>
      <c r="B36" s="48">
        <v>357402771</v>
      </c>
      <c r="C36" s="48" t="s">
        <v>27</v>
      </c>
      <c r="D36" s="19">
        <f>IFERROR(VLOOKUP(B36,'10-05-2026'!C:K,9,0), 0)</f>
        <v>39</v>
      </c>
      <c r="E36" s="19">
        <f>IFERROR(VLOOKUP(B36,Caza!C:K,9,0), 0)</f>
        <v>42</v>
      </c>
      <c r="F36" s="19"/>
      <c r="G36" s="19"/>
      <c r="H36" s="19"/>
      <c r="I36" s="23">
        <f>SUM(D36:H36)</f>
        <v>81</v>
      </c>
    </row>
    <row r="37" spans="1:9" x14ac:dyDescent="0.25">
      <c r="A37" s="12">
        <v>36</v>
      </c>
      <c r="B37" s="48">
        <v>989087967</v>
      </c>
      <c r="C37" s="48" t="s">
        <v>162</v>
      </c>
      <c r="D37" s="19">
        <f>IFERROR(VLOOKUP(B37,'10-05-2026'!C:K,9,0), 0)</f>
        <v>42</v>
      </c>
      <c r="E37" s="19">
        <f>IFERROR(VLOOKUP(B37,Caza!C:K,9,0), 0)</f>
        <v>39</v>
      </c>
      <c r="F37" s="19"/>
      <c r="G37" s="19"/>
      <c r="H37" s="19"/>
      <c r="I37" s="23">
        <f>SUM(D37:H37)</f>
        <v>81</v>
      </c>
    </row>
    <row r="38" spans="1:9" x14ac:dyDescent="0.25">
      <c r="A38" s="12">
        <v>37</v>
      </c>
      <c r="B38" s="48">
        <v>625607335</v>
      </c>
      <c r="C38" s="48" t="s">
        <v>168</v>
      </c>
      <c r="D38" s="19">
        <f>IFERROR(VLOOKUP(B38,'10-05-2026'!C:K,9,0), 0)</f>
        <v>45</v>
      </c>
      <c r="E38" s="19">
        <f>IFERROR(VLOOKUP(B38,Caza!C:K,9,0), 0)</f>
        <v>35</v>
      </c>
      <c r="F38" s="19"/>
      <c r="G38" s="19"/>
      <c r="H38" s="19"/>
      <c r="I38" s="23">
        <f>SUM(D38:H38)</f>
        <v>80</v>
      </c>
    </row>
    <row r="39" spans="1:9" x14ac:dyDescent="0.25">
      <c r="A39" s="12">
        <v>38</v>
      </c>
      <c r="B39" s="48">
        <v>1041170254</v>
      </c>
      <c r="C39" s="48" t="s">
        <v>135</v>
      </c>
      <c r="D39" s="19">
        <f>IFERROR(VLOOKUP(B39,'10-05-2026'!C:K,9,0), 0)</f>
        <v>45</v>
      </c>
      <c r="E39" s="19">
        <f>IFERROR(VLOOKUP(B39,Caza!C:K,9,0), 0)</f>
        <v>35</v>
      </c>
      <c r="F39" s="19"/>
      <c r="G39" s="19"/>
      <c r="H39" s="19"/>
      <c r="I39" s="23">
        <f>SUM(D39:H39)</f>
        <v>80</v>
      </c>
    </row>
    <row r="40" spans="1:9" x14ac:dyDescent="0.25">
      <c r="A40" s="12">
        <v>39</v>
      </c>
      <c r="B40" s="48">
        <v>526268020</v>
      </c>
      <c r="C40" s="48" t="s">
        <v>28</v>
      </c>
      <c r="D40" s="19">
        <f>IFERROR(VLOOKUP(B40,'10-05-2026'!C:K,9,0), 0)</f>
        <v>35</v>
      </c>
      <c r="E40" s="19">
        <f>IFERROR(VLOOKUP(B40,Caza!C:K,9,0), 0)</f>
        <v>45</v>
      </c>
      <c r="F40" s="19"/>
      <c r="G40" s="19"/>
      <c r="H40" s="19"/>
      <c r="I40" s="23">
        <f>SUM(D40:H40)</f>
        <v>80</v>
      </c>
    </row>
    <row r="41" spans="1:9" x14ac:dyDescent="0.25">
      <c r="A41" s="12">
        <v>40</v>
      </c>
      <c r="B41" s="48">
        <v>940947273</v>
      </c>
      <c r="C41" s="48" t="s">
        <v>166</v>
      </c>
      <c r="D41" s="19">
        <f>IFERROR(VLOOKUP(B41,'10-05-2026'!C:K,9,0), 0)</f>
        <v>43</v>
      </c>
      <c r="E41" s="19">
        <f>IFERROR(VLOOKUP(B41,Caza!C:K,9,0), 0)</f>
        <v>37</v>
      </c>
      <c r="F41" s="19"/>
      <c r="G41" s="19"/>
      <c r="H41" s="19"/>
      <c r="I41" s="23">
        <f>SUM(D41:H41)</f>
        <v>80</v>
      </c>
    </row>
    <row r="42" spans="1:9" x14ac:dyDescent="0.25">
      <c r="A42" s="12">
        <v>41</v>
      </c>
      <c r="B42" s="48">
        <v>1467795273</v>
      </c>
      <c r="C42" s="48" t="s">
        <v>38</v>
      </c>
      <c r="D42" s="19">
        <f>IFERROR(VLOOKUP(B42,'10-05-2026'!C:K,9,0), 0)</f>
        <v>35</v>
      </c>
      <c r="E42" s="19">
        <f>IFERROR(VLOOKUP(B42,Caza!C:K,9,0), 0)</f>
        <v>45</v>
      </c>
      <c r="F42" s="19"/>
      <c r="G42" s="19"/>
      <c r="H42" s="19"/>
      <c r="I42" s="23">
        <f>SUM(D42:H42)</f>
        <v>80</v>
      </c>
    </row>
    <row r="43" spans="1:9" x14ac:dyDescent="0.25">
      <c r="A43" s="12">
        <v>42</v>
      </c>
      <c r="B43" s="48">
        <v>365438142</v>
      </c>
      <c r="C43" s="48" t="s">
        <v>25</v>
      </c>
      <c r="D43" s="19">
        <f>IFERROR(VLOOKUP(B43,'10-05-2026'!C:K,9,0), 0)</f>
        <v>44</v>
      </c>
      <c r="E43" s="19">
        <f>IFERROR(VLOOKUP(B43,Caza!C:K,9,0), 0)</f>
        <v>35</v>
      </c>
      <c r="F43" s="19"/>
      <c r="G43" s="19"/>
      <c r="H43" s="19"/>
      <c r="I43" s="23">
        <f>SUM(D43:H43)</f>
        <v>79</v>
      </c>
    </row>
    <row r="44" spans="1:9" x14ac:dyDescent="0.25">
      <c r="A44" s="12">
        <v>43</v>
      </c>
      <c r="B44" s="48">
        <v>829026210</v>
      </c>
      <c r="C44" s="48" t="s">
        <v>100</v>
      </c>
      <c r="D44" s="19">
        <f>IFERROR(VLOOKUP(B44,'10-05-2026'!C:K,9,0), 0)</f>
        <v>43</v>
      </c>
      <c r="E44" s="19">
        <f>IFERROR(VLOOKUP(B44,Caza!C:K,9,0), 0)</f>
        <v>35</v>
      </c>
      <c r="F44" s="19"/>
      <c r="G44" s="19"/>
      <c r="H44" s="19"/>
      <c r="I44" s="23">
        <f>SUM(D44:H44)</f>
        <v>78</v>
      </c>
    </row>
    <row r="45" spans="1:9" x14ac:dyDescent="0.25">
      <c r="A45" s="12">
        <v>44</v>
      </c>
      <c r="B45" s="48">
        <v>821134729</v>
      </c>
      <c r="C45" s="48" t="s">
        <v>153</v>
      </c>
      <c r="D45" s="19">
        <f>IFERROR(VLOOKUP(B45,'10-05-2026'!C:K,9,0), 0)</f>
        <v>37</v>
      </c>
      <c r="E45" s="19">
        <f>IFERROR(VLOOKUP(B45,Caza!C:K,9,0), 0)</f>
        <v>40</v>
      </c>
      <c r="F45" s="19"/>
      <c r="G45" s="19"/>
      <c r="H45" s="19"/>
      <c r="I45" s="23">
        <f>SUM(D45:H45)</f>
        <v>77</v>
      </c>
    </row>
    <row r="46" spans="1:9" x14ac:dyDescent="0.25">
      <c r="A46" s="12">
        <v>45</v>
      </c>
      <c r="B46" s="48">
        <v>1294894373</v>
      </c>
      <c r="C46" s="48" t="s">
        <v>163</v>
      </c>
      <c r="D46" s="19">
        <f>IFERROR(VLOOKUP(B46,'10-05-2026'!C:K,9,0), 0)</f>
        <v>37</v>
      </c>
      <c r="E46" s="19">
        <f>IFERROR(VLOOKUP(B46,Caza!C:K,9,0), 0)</f>
        <v>38</v>
      </c>
      <c r="F46" s="19"/>
      <c r="G46" s="19"/>
      <c r="H46" s="19"/>
      <c r="I46" s="23">
        <f>SUM(D46:H46)</f>
        <v>75</v>
      </c>
    </row>
    <row r="47" spans="1:9" x14ac:dyDescent="0.25">
      <c r="A47" s="12">
        <v>46</v>
      </c>
      <c r="B47" s="48">
        <v>416845218</v>
      </c>
      <c r="C47" s="48" t="s">
        <v>29</v>
      </c>
      <c r="D47" s="19">
        <f>IFERROR(VLOOKUP(B47,'10-05-2026'!C:K,9,0), 0)</f>
        <v>35</v>
      </c>
      <c r="E47" s="19">
        <f>IFERROR(VLOOKUP(B47,Caza!C:K,9,0), 0)</f>
        <v>39</v>
      </c>
      <c r="F47" s="19"/>
      <c r="G47" s="19"/>
      <c r="H47" s="19"/>
      <c r="I47" s="23">
        <f>SUM(D47:H47)</f>
        <v>74</v>
      </c>
    </row>
    <row r="48" spans="1:9" x14ac:dyDescent="0.25">
      <c r="A48" s="12">
        <v>47</v>
      </c>
      <c r="B48" s="48">
        <v>919665444</v>
      </c>
      <c r="C48" s="48" t="s">
        <v>180</v>
      </c>
      <c r="D48" s="19">
        <f>IFERROR(VLOOKUP(B48,'10-05-2026'!C:K,9,0), 0)</f>
        <v>35</v>
      </c>
      <c r="E48" s="19">
        <f>IFERROR(VLOOKUP(B48,Caza!C:K,9,0), 0)</f>
        <v>38</v>
      </c>
      <c r="F48" s="19"/>
      <c r="G48" s="19"/>
      <c r="H48" s="19"/>
      <c r="I48" s="23">
        <f>SUM(D48:H48)</f>
        <v>73</v>
      </c>
    </row>
    <row r="49" spans="1:9" x14ac:dyDescent="0.25">
      <c r="A49" s="12">
        <v>48</v>
      </c>
      <c r="B49" s="48">
        <v>1041405085</v>
      </c>
      <c r="C49" s="48" t="s">
        <v>128</v>
      </c>
      <c r="D49" s="19">
        <f>IFERROR(VLOOKUP(B49,'10-05-2026'!C:K,9,0), 0)</f>
        <v>37</v>
      </c>
      <c r="E49" s="19">
        <f>IFERROR(VLOOKUP(B49,Caza!C:K,9,0), 0)</f>
        <v>36</v>
      </c>
      <c r="F49" s="19"/>
      <c r="G49" s="19"/>
      <c r="H49" s="19"/>
      <c r="I49" s="23">
        <f>SUM(D49:H49)</f>
        <v>73</v>
      </c>
    </row>
    <row r="50" spans="1:9" x14ac:dyDescent="0.25">
      <c r="A50" s="12">
        <v>49</v>
      </c>
      <c r="B50" s="48">
        <v>1268142112</v>
      </c>
      <c r="C50" s="48" t="s">
        <v>42</v>
      </c>
      <c r="D50" s="19">
        <f>IFERROR(VLOOKUP(B50,'10-05-2026'!C:K,9,0), 0)</f>
        <v>36</v>
      </c>
      <c r="E50" s="19">
        <f>IFERROR(VLOOKUP(B50,Caza!C:K,9,0), 0)</f>
        <v>36</v>
      </c>
      <c r="F50" s="19"/>
      <c r="G50" s="19"/>
      <c r="H50" s="19"/>
      <c r="I50" s="23">
        <f>SUM(D50:H50)</f>
        <v>72</v>
      </c>
    </row>
    <row r="51" spans="1:9" x14ac:dyDescent="0.25">
      <c r="A51" s="12">
        <v>50</v>
      </c>
      <c r="B51" s="48">
        <v>1923743214</v>
      </c>
      <c r="C51" s="48" t="s">
        <v>83</v>
      </c>
      <c r="D51" s="19">
        <f>IFERROR(VLOOKUP(B51,'10-05-2026'!C:K,9,0), 0)</f>
        <v>37</v>
      </c>
      <c r="E51" s="19">
        <f>IFERROR(VLOOKUP(B51,Caza!C:K,9,0), 0)</f>
        <v>35</v>
      </c>
      <c r="F51" s="19"/>
      <c r="G51" s="19"/>
      <c r="H51" s="19"/>
      <c r="I51" s="23">
        <f>SUM(D51:H51)</f>
        <v>72</v>
      </c>
    </row>
    <row r="52" spans="1:9" x14ac:dyDescent="0.25">
      <c r="A52" s="12">
        <v>51</v>
      </c>
      <c r="B52" s="48">
        <v>1036786251</v>
      </c>
      <c r="C52" s="48" t="s">
        <v>117</v>
      </c>
      <c r="D52" s="19">
        <f>IFERROR(VLOOKUP(B52,'10-05-2026'!C:K,9,0), 0)</f>
        <v>35</v>
      </c>
      <c r="E52" s="19">
        <f>IFERROR(VLOOKUP(B52,Caza!C:K,9,0), 0)</f>
        <v>36</v>
      </c>
      <c r="F52" s="19"/>
      <c r="G52" s="19"/>
      <c r="H52" s="19"/>
      <c r="I52" s="23">
        <f>SUM(D52:H52)</f>
        <v>71</v>
      </c>
    </row>
    <row r="53" spans="1:9" x14ac:dyDescent="0.25">
      <c r="A53" s="12">
        <v>52</v>
      </c>
      <c r="B53" s="48">
        <v>545632943</v>
      </c>
      <c r="C53" s="48" t="s">
        <v>169</v>
      </c>
      <c r="D53" s="19">
        <f>IFERROR(VLOOKUP(B53,'10-05-2026'!C:K,9,0), 0)</f>
        <v>35</v>
      </c>
      <c r="E53" s="19">
        <f>IFERROR(VLOOKUP(B53,Caza!C:K,9,0), 0)</f>
        <v>36</v>
      </c>
      <c r="F53" s="19"/>
      <c r="G53" s="19"/>
      <c r="H53" s="19"/>
      <c r="I53" s="23">
        <f>SUM(D53:H53)</f>
        <v>71</v>
      </c>
    </row>
    <row r="54" spans="1:9" x14ac:dyDescent="0.25">
      <c r="A54" s="12">
        <v>53</v>
      </c>
      <c r="B54" s="48">
        <v>997405085</v>
      </c>
      <c r="C54" s="48" t="s">
        <v>161</v>
      </c>
      <c r="D54" s="19">
        <f>IFERROR(VLOOKUP(B54,'10-05-2026'!C:K,9,0), 0)</f>
        <v>36</v>
      </c>
      <c r="E54" s="19">
        <f>IFERROR(VLOOKUP(B54,Caza!C:K,9,0), 0)</f>
        <v>35</v>
      </c>
      <c r="F54" s="19"/>
      <c r="G54" s="19"/>
      <c r="H54" s="19"/>
      <c r="I54" s="23">
        <f>SUM(D54:H54)</f>
        <v>71</v>
      </c>
    </row>
    <row r="55" spans="1:9" x14ac:dyDescent="0.25">
      <c r="A55" s="12">
        <v>54</v>
      </c>
      <c r="B55" s="48">
        <v>869080899</v>
      </c>
      <c r="C55" s="48" t="s">
        <v>93</v>
      </c>
      <c r="D55" s="19">
        <f>IFERROR(VLOOKUP(B55,'10-05-2026'!C:K,9,0), 0)</f>
        <v>36</v>
      </c>
      <c r="E55" s="19">
        <f>IFERROR(VLOOKUP(B55,Caza!C:K,9,0), 0)</f>
        <v>35</v>
      </c>
      <c r="F55" s="19"/>
      <c r="G55" s="19"/>
      <c r="H55" s="19"/>
      <c r="I55" s="23">
        <f>SUM(D55:H55)</f>
        <v>71</v>
      </c>
    </row>
    <row r="56" spans="1:9" x14ac:dyDescent="0.25">
      <c r="A56" s="12">
        <v>55</v>
      </c>
      <c r="B56" s="48">
        <v>916473485</v>
      </c>
      <c r="C56" s="48" t="s">
        <v>103</v>
      </c>
      <c r="D56" s="19">
        <f>IFERROR(VLOOKUP(B56,'10-05-2026'!C:K,9,0), 0)</f>
        <v>35</v>
      </c>
      <c r="E56" s="19">
        <f>IFERROR(VLOOKUP(B56,Caza!C:K,9,0), 0)</f>
        <v>36</v>
      </c>
      <c r="F56" s="19"/>
      <c r="G56" s="19"/>
      <c r="H56" s="19"/>
      <c r="I56" s="23">
        <f>SUM(D56:H56)</f>
        <v>71</v>
      </c>
    </row>
    <row r="57" spans="1:9" x14ac:dyDescent="0.25">
      <c r="A57" s="12">
        <v>56</v>
      </c>
      <c r="B57" s="48">
        <v>1919512898</v>
      </c>
      <c r="C57" s="48" t="s">
        <v>182</v>
      </c>
      <c r="D57" s="19">
        <f>IFERROR(VLOOKUP(B57,'10-05-2026'!C:K,9,0), 0)</f>
        <v>35</v>
      </c>
      <c r="E57" s="19">
        <f>IFERROR(VLOOKUP(B57,Caza!C:K,9,0), 0)</f>
        <v>36</v>
      </c>
      <c r="F57" s="19"/>
      <c r="G57" s="19"/>
      <c r="H57" s="19"/>
      <c r="I57" s="23">
        <f>SUM(D57:H57)</f>
        <v>71</v>
      </c>
    </row>
    <row r="58" spans="1:9" x14ac:dyDescent="0.25">
      <c r="A58" s="12">
        <v>57</v>
      </c>
      <c r="B58" s="48">
        <v>1806182451</v>
      </c>
      <c r="C58" s="48" t="s">
        <v>40</v>
      </c>
      <c r="D58" s="19">
        <f>IFERROR(VLOOKUP(B58,'10-05-2026'!C:K,9,0), 0)</f>
        <v>26</v>
      </c>
      <c r="E58" s="19">
        <f>IFERROR(VLOOKUP(B58,Caza!C:K,9,0), 0)</f>
        <v>45</v>
      </c>
      <c r="F58" s="19"/>
      <c r="G58" s="19"/>
      <c r="H58" s="19"/>
      <c r="I58" s="23">
        <f>SUM(D58:H58)</f>
        <v>71</v>
      </c>
    </row>
    <row r="59" spans="1:9" x14ac:dyDescent="0.25">
      <c r="A59" s="12">
        <v>58</v>
      </c>
      <c r="B59" s="48">
        <v>747071768</v>
      </c>
      <c r="C59" s="48" t="s">
        <v>112</v>
      </c>
      <c r="D59" s="19">
        <f>IFERROR(VLOOKUP(B59,'10-05-2026'!C:K,9,0), 0)</f>
        <v>35</v>
      </c>
      <c r="E59" s="19">
        <f>IFERROR(VLOOKUP(B59,Caza!C:K,9,0), 0)</f>
        <v>35</v>
      </c>
      <c r="F59" s="19"/>
      <c r="G59" s="19"/>
      <c r="H59" s="19"/>
      <c r="I59" s="23">
        <f>SUM(D59:H59)</f>
        <v>70</v>
      </c>
    </row>
    <row r="60" spans="1:9" x14ac:dyDescent="0.25">
      <c r="A60" s="12">
        <v>59</v>
      </c>
      <c r="B60" s="48">
        <v>973732352</v>
      </c>
      <c r="C60" s="48" t="s">
        <v>65</v>
      </c>
      <c r="D60" s="19">
        <f>IFERROR(VLOOKUP(B60,'10-05-2026'!C:K,9,0), 0)</f>
        <v>35</v>
      </c>
      <c r="E60" s="19">
        <f>IFERROR(VLOOKUP(B60,Caza!C:K,9,0), 0)</f>
        <v>35</v>
      </c>
      <c r="F60" s="19"/>
      <c r="G60" s="19"/>
      <c r="H60" s="19"/>
      <c r="I60" s="23">
        <f>SUM(D60:H60)</f>
        <v>70</v>
      </c>
    </row>
    <row r="61" spans="1:9" x14ac:dyDescent="0.25">
      <c r="A61" s="12">
        <v>60</v>
      </c>
      <c r="B61" s="48">
        <v>1915163097</v>
      </c>
      <c r="C61" s="48" t="s">
        <v>78</v>
      </c>
      <c r="D61" s="19">
        <f>IFERROR(VLOOKUP(B61,'10-05-2026'!C:K,9,0), 0)</f>
        <v>35</v>
      </c>
      <c r="E61" s="19">
        <f>IFERROR(VLOOKUP(B61,Caza!C:K,9,0), 0)</f>
        <v>35</v>
      </c>
      <c r="F61" s="19"/>
      <c r="G61" s="19"/>
      <c r="H61" s="19"/>
      <c r="I61" s="23">
        <f>SUM(D61:H61)</f>
        <v>70</v>
      </c>
    </row>
    <row r="62" spans="1:9" x14ac:dyDescent="0.25">
      <c r="A62" s="12">
        <v>61</v>
      </c>
      <c r="B62" s="48">
        <v>651360013</v>
      </c>
      <c r="C62" s="48" t="s">
        <v>170</v>
      </c>
      <c r="D62" s="19">
        <f>IFERROR(VLOOKUP(B62,'10-05-2026'!C:K,9,0), 0)</f>
        <v>35</v>
      </c>
      <c r="E62" s="19">
        <f>IFERROR(VLOOKUP(B62,Caza!C:K,9,0), 0)</f>
        <v>35</v>
      </c>
      <c r="F62" s="19"/>
      <c r="G62" s="19"/>
      <c r="H62" s="19"/>
      <c r="I62" s="23">
        <f>SUM(D62:H62)</f>
        <v>70</v>
      </c>
    </row>
    <row r="63" spans="1:9" x14ac:dyDescent="0.25">
      <c r="A63" s="12">
        <v>62</v>
      </c>
      <c r="B63" s="48">
        <v>1913187635</v>
      </c>
      <c r="C63" s="48" t="s">
        <v>84</v>
      </c>
      <c r="D63" s="19">
        <f>IFERROR(VLOOKUP(B63,'10-05-2026'!C:K,9,0), 0)</f>
        <v>35</v>
      </c>
      <c r="E63" s="19">
        <f>IFERROR(VLOOKUP(B63,Caza!C:K,9,0), 0)</f>
        <v>35</v>
      </c>
      <c r="F63" s="19"/>
      <c r="G63" s="19"/>
      <c r="H63" s="19"/>
      <c r="I63" s="23">
        <f>SUM(D63:H63)</f>
        <v>70</v>
      </c>
    </row>
    <row r="64" spans="1:9" x14ac:dyDescent="0.25">
      <c r="A64" s="12">
        <v>63</v>
      </c>
      <c r="B64" s="48">
        <v>777343597</v>
      </c>
      <c r="C64" s="48" t="s">
        <v>113</v>
      </c>
      <c r="D64" s="19">
        <f>IFERROR(VLOOKUP(B64,'10-05-2026'!C:K,9,0), 0)</f>
        <v>35</v>
      </c>
      <c r="E64" s="19">
        <f>IFERROR(VLOOKUP(B64,Caza!C:K,9,0), 0)</f>
        <v>35</v>
      </c>
      <c r="F64" s="19"/>
      <c r="G64" s="19"/>
      <c r="H64" s="19"/>
      <c r="I64" s="23">
        <f>SUM(D64:H64)</f>
        <v>70</v>
      </c>
    </row>
    <row r="65" spans="1:9" x14ac:dyDescent="0.25">
      <c r="A65" s="12">
        <v>64</v>
      </c>
      <c r="B65" s="48">
        <v>1917368618</v>
      </c>
      <c r="C65" s="48" t="s">
        <v>39</v>
      </c>
      <c r="D65" s="19">
        <f>IFERROR(VLOOKUP(B65,'10-05-2026'!C:K,9,0), 0)</f>
        <v>35</v>
      </c>
      <c r="E65" s="19">
        <f>IFERROR(VLOOKUP(B65,Caza!C:K,9,0), 0)</f>
        <v>35</v>
      </c>
      <c r="F65" s="19"/>
      <c r="G65" s="19"/>
      <c r="H65" s="19"/>
      <c r="I65" s="23">
        <f>SUM(D65:H65)</f>
        <v>70</v>
      </c>
    </row>
    <row r="66" spans="1:9" x14ac:dyDescent="0.25">
      <c r="A66" s="12">
        <v>65</v>
      </c>
      <c r="B66" s="48">
        <v>1769834648</v>
      </c>
      <c r="C66" s="48" t="s">
        <v>36</v>
      </c>
      <c r="D66" s="19">
        <f>IFERROR(VLOOKUP(B66,'10-05-2026'!C:K,9,0), 0)</f>
        <v>36</v>
      </c>
      <c r="E66" s="19">
        <f>IFERROR(VLOOKUP(B66,Caza!C:K,9,0), 0)</f>
        <v>30</v>
      </c>
      <c r="F66" s="19"/>
      <c r="G66" s="19"/>
      <c r="H66" s="19"/>
      <c r="I66" s="23">
        <f>SUM(D66:H66)</f>
        <v>66</v>
      </c>
    </row>
    <row r="67" spans="1:9" x14ac:dyDescent="0.25">
      <c r="A67" s="12">
        <v>66</v>
      </c>
      <c r="B67" s="48">
        <v>866932727</v>
      </c>
      <c r="C67" s="48" t="s">
        <v>181</v>
      </c>
      <c r="D67" s="19">
        <f>IFERROR(VLOOKUP(B67,'10-05-2026'!C:K,9,0), 0)</f>
        <v>30</v>
      </c>
      <c r="E67" s="19">
        <f>IFERROR(VLOOKUP(B67,Caza!C:K,9,0), 0)</f>
        <v>35</v>
      </c>
      <c r="F67" s="19"/>
      <c r="G67" s="19"/>
      <c r="H67" s="19"/>
      <c r="I67" s="23">
        <f>SUM(D67:H67)</f>
        <v>65</v>
      </c>
    </row>
    <row r="68" spans="1:9" x14ac:dyDescent="0.25">
      <c r="A68" s="12">
        <v>67</v>
      </c>
      <c r="B68" s="48">
        <v>1264043363</v>
      </c>
      <c r="C68" s="48" t="s">
        <v>154</v>
      </c>
      <c r="D68" s="19">
        <f>IFERROR(VLOOKUP(B68,'10-05-2026'!C:K,9,0), 0)</f>
        <v>35</v>
      </c>
      <c r="E68" s="19">
        <f>IFERROR(VLOOKUP(B68,Caza!C:K,9,0), 0)</f>
        <v>30</v>
      </c>
      <c r="F68" s="19"/>
      <c r="G68" s="19"/>
      <c r="H68" s="19"/>
      <c r="I68" s="23">
        <f>SUM(D68:H68)</f>
        <v>65</v>
      </c>
    </row>
    <row r="69" spans="1:9" x14ac:dyDescent="0.25">
      <c r="A69" s="12">
        <v>68</v>
      </c>
      <c r="B69" s="48">
        <v>566390589</v>
      </c>
      <c r="C69" s="48" t="s">
        <v>102</v>
      </c>
      <c r="D69" s="19">
        <f>IFERROR(VLOOKUP(B69,'10-05-2026'!C:K,9,0), 0)</f>
        <v>26</v>
      </c>
      <c r="E69" s="19">
        <f>IFERROR(VLOOKUP(B69,Caza!C:K,9,0), 0)</f>
        <v>36</v>
      </c>
      <c r="F69" s="19"/>
      <c r="G69" s="19"/>
      <c r="H69" s="19"/>
      <c r="I69" s="23">
        <f>SUM(D69:H69)</f>
        <v>62</v>
      </c>
    </row>
    <row r="70" spans="1:9" x14ac:dyDescent="0.25">
      <c r="A70" s="12">
        <v>69</v>
      </c>
      <c r="B70" s="48">
        <v>927459756</v>
      </c>
      <c r="C70" s="48" t="s">
        <v>86</v>
      </c>
      <c r="D70" s="19">
        <f>IFERROR(VLOOKUP(B70,'10-05-2026'!C:K,9,0), 0)</f>
        <v>26</v>
      </c>
      <c r="E70" s="19">
        <f>IFERROR(VLOOKUP(B70,Caza!C:K,9,0), 0)</f>
        <v>35</v>
      </c>
      <c r="F70" s="19"/>
      <c r="G70" s="19"/>
      <c r="H70" s="19"/>
      <c r="I70" s="23">
        <f>SUM(D70:H70)</f>
        <v>61</v>
      </c>
    </row>
    <row r="71" spans="1:9" x14ac:dyDescent="0.25">
      <c r="A71" s="12">
        <v>70</v>
      </c>
      <c r="B71" s="48">
        <v>1040811175</v>
      </c>
      <c r="C71" s="48" t="s">
        <v>145</v>
      </c>
      <c r="D71" s="19">
        <f>IFERROR(VLOOKUP(B71,'10-05-2026'!C:K,9,0), 0)</f>
        <v>25</v>
      </c>
      <c r="E71" s="19">
        <f>IFERROR(VLOOKUP(B71,Caza!C:K,9,0), 0)</f>
        <v>34</v>
      </c>
      <c r="F71" s="19"/>
      <c r="G71" s="19"/>
      <c r="H71" s="19"/>
      <c r="I71" s="23">
        <f>SUM(D71:H71)</f>
        <v>59</v>
      </c>
    </row>
    <row r="72" spans="1:9" x14ac:dyDescent="0.25">
      <c r="A72" s="12">
        <v>71</v>
      </c>
      <c r="B72" s="48">
        <v>1698596813</v>
      </c>
      <c r="C72" s="48" t="s">
        <v>130</v>
      </c>
      <c r="D72" s="19">
        <f>IFERROR(VLOOKUP(B72,'10-05-2026'!C:K,9,0), 0)</f>
        <v>24</v>
      </c>
      <c r="E72" s="19">
        <f>IFERROR(VLOOKUP(B72,Caza!C:K,9,0), 0)</f>
        <v>35</v>
      </c>
      <c r="F72" s="19"/>
      <c r="G72" s="19"/>
      <c r="H72" s="19"/>
      <c r="I72" s="23">
        <f>SUM(D72:H72)</f>
        <v>59</v>
      </c>
    </row>
    <row r="73" spans="1:9" x14ac:dyDescent="0.25">
      <c r="A73" s="12">
        <v>72</v>
      </c>
      <c r="B73" s="48">
        <v>395091349</v>
      </c>
      <c r="C73" s="48" t="s">
        <v>183</v>
      </c>
      <c r="D73" s="19">
        <f>IFERROR(VLOOKUP(B73,'10-05-2026'!C:K,9,0), 0)</f>
        <v>0</v>
      </c>
      <c r="E73" s="19">
        <f>IFERROR(VLOOKUP(B73,Caza!C:K,9,0), 0)</f>
        <v>58</v>
      </c>
      <c r="F73" s="19"/>
      <c r="G73" s="19"/>
      <c r="H73" s="19"/>
      <c r="I73" s="23">
        <f>SUM(D73:H73)</f>
        <v>58</v>
      </c>
    </row>
    <row r="74" spans="1:9" x14ac:dyDescent="0.25">
      <c r="A74" s="12">
        <v>73</v>
      </c>
      <c r="B74" s="48">
        <v>1268693750</v>
      </c>
      <c r="C74" s="48" t="s">
        <v>157</v>
      </c>
      <c r="D74" s="19">
        <f>IFERROR(VLOOKUP(B74,'10-05-2026'!C:K,9,0), 0)</f>
        <v>35</v>
      </c>
      <c r="E74" s="19">
        <f>IFERROR(VLOOKUP(B74,Caza!C:K,9,0), 0)</f>
        <v>23</v>
      </c>
      <c r="F74" s="19"/>
      <c r="G74" s="19"/>
      <c r="H74" s="19"/>
      <c r="I74" s="23">
        <f>SUM(D74:H74)</f>
        <v>58</v>
      </c>
    </row>
    <row r="75" spans="1:9" x14ac:dyDescent="0.25">
      <c r="A75" s="12">
        <v>74</v>
      </c>
      <c r="B75" s="48">
        <v>881905775</v>
      </c>
      <c r="C75" s="48" t="s">
        <v>188</v>
      </c>
      <c r="D75" s="19">
        <f>IFERROR(VLOOKUP(B75,'10-05-2026'!C:K,9,0), 0)</f>
        <v>0</v>
      </c>
      <c r="E75" s="19">
        <f>IFERROR(VLOOKUP(B75,Caza!C:K,9,0), 0)</f>
        <v>55</v>
      </c>
      <c r="F75" s="19"/>
      <c r="G75" s="19"/>
      <c r="H75" s="19"/>
      <c r="I75" s="23">
        <f>SUM(D75:H75)</f>
        <v>55</v>
      </c>
    </row>
    <row r="76" spans="1:9" x14ac:dyDescent="0.25">
      <c r="A76" s="12">
        <v>75</v>
      </c>
      <c r="B76" s="48">
        <v>386453157</v>
      </c>
      <c r="C76" s="48" t="s">
        <v>187</v>
      </c>
      <c r="D76" s="19">
        <f>IFERROR(VLOOKUP(B76,'10-05-2026'!C:K,9,0), 0)</f>
        <v>29</v>
      </c>
      <c r="E76" s="19">
        <f>IFERROR(VLOOKUP(B76,Caza!C:K,9,0), 0)</f>
        <v>22</v>
      </c>
      <c r="F76" s="19"/>
      <c r="G76" s="19"/>
      <c r="H76" s="19"/>
      <c r="I76" s="23">
        <f>SUM(D76:H76)</f>
        <v>51</v>
      </c>
    </row>
    <row r="77" spans="1:9" x14ac:dyDescent="0.25">
      <c r="A77" s="12">
        <v>76</v>
      </c>
      <c r="B77" s="48">
        <v>1727138266</v>
      </c>
      <c r="C77" s="48" t="s">
        <v>191</v>
      </c>
      <c r="D77" s="19">
        <f>IFERROR(VLOOKUP(B77,'10-05-2026'!C:K,9,0), 0)</f>
        <v>35</v>
      </c>
      <c r="E77" s="19">
        <f>IFERROR(VLOOKUP(B77,Caza!C:K,9,0), 0)</f>
        <v>16</v>
      </c>
      <c r="F77" s="19"/>
      <c r="G77" s="19"/>
      <c r="H77" s="19"/>
      <c r="I77" s="23">
        <f>SUM(D77:H77)</f>
        <v>51</v>
      </c>
    </row>
    <row r="78" spans="1:9" x14ac:dyDescent="0.25">
      <c r="A78" s="12">
        <v>77</v>
      </c>
      <c r="B78" s="48">
        <v>735092980</v>
      </c>
      <c r="C78" s="48" t="s">
        <v>120</v>
      </c>
      <c r="D78" s="19">
        <f>IFERROR(VLOOKUP(B78,'10-05-2026'!C:K,9,0), 0)</f>
        <v>15</v>
      </c>
      <c r="E78" s="19">
        <f>IFERROR(VLOOKUP(B78,Caza!C:K,9,0), 0)</f>
        <v>35</v>
      </c>
      <c r="F78" s="19"/>
      <c r="G78" s="19"/>
      <c r="H78" s="19"/>
      <c r="I78" s="23">
        <f>SUM(D78:H78)</f>
        <v>50</v>
      </c>
    </row>
    <row r="79" spans="1:9" x14ac:dyDescent="0.25">
      <c r="A79" s="12">
        <v>78</v>
      </c>
      <c r="B79" s="48">
        <v>1279827382</v>
      </c>
      <c r="C79" s="48" t="s">
        <v>142</v>
      </c>
      <c r="D79" s="19">
        <f>IFERROR(VLOOKUP(B79,'10-05-2026'!C:K,9,0), 0)</f>
        <v>17</v>
      </c>
      <c r="E79" s="19">
        <f>IFERROR(VLOOKUP(B79,Caza!C:K,9,0), 0)</f>
        <v>26</v>
      </c>
      <c r="F79" s="19"/>
      <c r="G79" s="19"/>
      <c r="H79" s="19"/>
      <c r="I79" s="23">
        <f>SUM(D79:H79)</f>
        <v>43</v>
      </c>
    </row>
    <row r="80" spans="1:9" x14ac:dyDescent="0.25">
      <c r="A80" s="12">
        <v>79</v>
      </c>
      <c r="B80" s="48">
        <v>1041187189</v>
      </c>
      <c r="C80" s="48" t="s">
        <v>159</v>
      </c>
      <c r="D80" s="19">
        <f>IFERROR(VLOOKUP(B80,'10-05-2026'!C:K,9,0), 0)</f>
        <v>22</v>
      </c>
      <c r="E80" s="19">
        <f>IFERROR(VLOOKUP(B80,Caza!C:K,9,0), 0)</f>
        <v>20</v>
      </c>
      <c r="F80" s="19"/>
      <c r="G80" s="19"/>
      <c r="H80" s="19"/>
      <c r="I80" s="23">
        <f>SUM(D80:H80)</f>
        <v>42</v>
      </c>
    </row>
    <row r="81" spans="1:9" x14ac:dyDescent="0.25">
      <c r="A81" s="12">
        <v>80</v>
      </c>
      <c r="B81" s="48">
        <v>613063847</v>
      </c>
      <c r="C81" s="48" t="s">
        <v>101</v>
      </c>
      <c r="D81" s="19">
        <f>IFERROR(VLOOKUP(B81,'10-05-2026'!C:K,9,0), 0)</f>
        <v>0</v>
      </c>
      <c r="E81" s="19">
        <f>IFERROR(VLOOKUP(B81,Caza!C:K,9,0), 0)</f>
        <v>38</v>
      </c>
      <c r="F81" s="19"/>
      <c r="G81" s="19"/>
      <c r="H81" s="19"/>
      <c r="I81" s="23">
        <f>SUM(D81:H81)</f>
        <v>38</v>
      </c>
    </row>
    <row r="82" spans="1:9" x14ac:dyDescent="0.25">
      <c r="A82" s="12">
        <v>81</v>
      </c>
      <c r="B82" s="48">
        <v>526144427</v>
      </c>
      <c r="C82" s="48" t="s">
        <v>146</v>
      </c>
      <c r="D82" s="19">
        <f>IFERROR(VLOOKUP(B82,'10-05-2026'!C:K,9,0), 0)</f>
        <v>12</v>
      </c>
      <c r="E82" s="19">
        <f>IFERROR(VLOOKUP(B82,Caza!C:K,9,0), 0)</f>
        <v>24</v>
      </c>
      <c r="F82" s="19"/>
      <c r="G82" s="19"/>
      <c r="H82" s="19"/>
      <c r="I82" s="23">
        <f>SUM(D82:H82)</f>
        <v>36</v>
      </c>
    </row>
    <row r="83" spans="1:9" x14ac:dyDescent="0.25">
      <c r="A83" s="12">
        <v>82</v>
      </c>
      <c r="B83" s="48">
        <v>1693317344</v>
      </c>
      <c r="C83" s="48" t="s">
        <v>155</v>
      </c>
      <c r="D83" s="19">
        <f>IFERROR(VLOOKUP(B83,'10-05-2026'!C:K,9,0), 0)</f>
        <v>30</v>
      </c>
      <c r="E83" s="19">
        <f>IFERROR(VLOOKUP(B83,Caza!C:K,9,0), 0)</f>
        <v>6</v>
      </c>
      <c r="F83" s="19"/>
      <c r="G83" s="19"/>
      <c r="H83" s="19"/>
      <c r="I83" s="23">
        <f>SUM(D83:H83)</f>
        <v>36</v>
      </c>
    </row>
    <row r="84" spans="1:9" x14ac:dyDescent="0.25">
      <c r="A84" s="12">
        <v>83</v>
      </c>
      <c r="B84" s="48">
        <v>1067470462</v>
      </c>
      <c r="C84" s="48" t="s">
        <v>160</v>
      </c>
      <c r="D84" s="19">
        <f>IFERROR(VLOOKUP(B84,'10-05-2026'!C:K,9,0), 0)</f>
        <v>16</v>
      </c>
      <c r="E84" s="19">
        <f>IFERROR(VLOOKUP(B84,Caza!C:K,9,0), 0)</f>
        <v>19</v>
      </c>
      <c r="F84" s="19"/>
      <c r="G84" s="19"/>
      <c r="H84" s="19"/>
      <c r="I84" s="23">
        <f>SUM(D84:H84)</f>
        <v>35</v>
      </c>
    </row>
    <row r="85" spans="1:9" x14ac:dyDescent="0.25">
      <c r="A85" s="12">
        <v>84</v>
      </c>
      <c r="B85" s="48">
        <v>412543735</v>
      </c>
      <c r="C85" s="48" t="s">
        <v>129</v>
      </c>
      <c r="D85" s="19">
        <f>IFERROR(VLOOKUP(B85,'10-05-2026'!C:K,9,0), 0)</f>
        <v>25</v>
      </c>
      <c r="E85" s="19">
        <f>IFERROR(VLOOKUP(B85,Caza!C:K,9,0), 0)</f>
        <v>5</v>
      </c>
      <c r="F85" s="19"/>
      <c r="G85" s="19"/>
      <c r="H85" s="19"/>
      <c r="I85" s="23">
        <f>SUM(D85:H85)</f>
        <v>30</v>
      </c>
    </row>
    <row r="86" spans="1:9" x14ac:dyDescent="0.25">
      <c r="A86" s="12">
        <v>85</v>
      </c>
      <c r="B86" s="48">
        <v>422938512</v>
      </c>
      <c r="C86" s="48" t="s">
        <v>190</v>
      </c>
      <c r="D86" s="19">
        <f>IFERROR(VLOOKUP(B86,'10-05-2026'!C:K,9,0), 0)</f>
        <v>18</v>
      </c>
      <c r="E86" s="19">
        <f>IFERROR(VLOOKUP(B86,Caza!C:K,9,0), 0)</f>
        <v>12</v>
      </c>
      <c r="F86" s="19"/>
      <c r="G86" s="19"/>
      <c r="H86" s="19"/>
      <c r="I86" s="23">
        <f>SUM(D86:H86)</f>
        <v>30</v>
      </c>
    </row>
    <row r="87" spans="1:9" x14ac:dyDescent="0.25">
      <c r="A87" s="12">
        <v>86</v>
      </c>
      <c r="B87" s="48">
        <v>391188518</v>
      </c>
      <c r="C87" s="48" t="s">
        <v>147</v>
      </c>
      <c r="D87" s="19">
        <f>IFERROR(VLOOKUP(B87,'10-05-2026'!C:K,9,0), 0)</f>
        <v>17</v>
      </c>
      <c r="E87" s="19">
        <f>IFERROR(VLOOKUP(B87,Caza!C:K,9,0), 0)</f>
        <v>5</v>
      </c>
      <c r="F87" s="19"/>
      <c r="G87" s="19"/>
      <c r="H87" s="19"/>
      <c r="I87" s="23">
        <f>SUM(D87:H87)</f>
        <v>22</v>
      </c>
    </row>
    <row r="88" spans="1:9" x14ac:dyDescent="0.25">
      <c r="A88" s="12">
        <v>87</v>
      </c>
      <c r="B88" s="48">
        <v>1483867967</v>
      </c>
      <c r="C88" s="48" t="s">
        <v>171</v>
      </c>
      <c r="D88" s="19">
        <f>IFERROR(VLOOKUP(B88,'10-05-2026'!C:K,9,0), 0)</f>
        <v>9</v>
      </c>
      <c r="E88" s="19">
        <f>IFERROR(VLOOKUP(B88,Caza!C:K,9,0), 0)</f>
        <v>12</v>
      </c>
      <c r="F88" s="19"/>
      <c r="G88" s="19"/>
      <c r="H88" s="19"/>
      <c r="I88" s="23">
        <f>SUM(D88:H88)</f>
        <v>21</v>
      </c>
    </row>
    <row r="89" spans="1:9" x14ac:dyDescent="0.25">
      <c r="A89" s="12">
        <v>88</v>
      </c>
      <c r="B89" s="48">
        <v>440323888</v>
      </c>
      <c r="C89" s="48" t="s">
        <v>139</v>
      </c>
      <c r="D89" s="19">
        <f>IFERROR(VLOOKUP(B89,'10-05-2026'!C:K,9,0), 0)</f>
        <v>13</v>
      </c>
      <c r="E89" s="19">
        <f>IFERROR(VLOOKUP(B89,Caza!C:K,9,0), 0)</f>
        <v>6</v>
      </c>
      <c r="F89" s="19"/>
      <c r="G89" s="19"/>
      <c r="H89" s="19"/>
      <c r="I89" s="23">
        <f>SUM(D89:H89)</f>
        <v>19</v>
      </c>
    </row>
    <row r="90" spans="1:9" x14ac:dyDescent="0.25">
      <c r="A90" s="12">
        <v>89</v>
      </c>
      <c r="B90" s="48">
        <v>597879167</v>
      </c>
      <c r="C90" s="48" t="s">
        <v>127</v>
      </c>
      <c r="D90" s="19">
        <f>IFERROR(VLOOKUP(B90,'10-05-2026'!C:K,9,0), 0)</f>
        <v>13</v>
      </c>
      <c r="E90" s="19">
        <f>IFERROR(VLOOKUP(B90,Caza!C:K,9,0), 0)</f>
        <v>5</v>
      </c>
      <c r="F90" s="19"/>
      <c r="G90" s="19"/>
      <c r="H90" s="19"/>
      <c r="I90" s="23">
        <f>SUM(D90:H90)</f>
        <v>18</v>
      </c>
    </row>
    <row r="91" spans="1:9" x14ac:dyDescent="0.25">
      <c r="A91" s="12">
        <v>90</v>
      </c>
      <c r="B91" s="48">
        <v>683679140</v>
      </c>
      <c r="C91" s="48" t="s">
        <v>137</v>
      </c>
      <c r="D91" s="19">
        <f>IFERROR(VLOOKUP(B91,'10-05-2026'!C:K,9,0), 0)</f>
        <v>12</v>
      </c>
      <c r="E91" s="19">
        <f>IFERROR(VLOOKUP(B91,Caza!C:K,9,0), 0)</f>
        <v>5</v>
      </c>
      <c r="F91" s="19"/>
      <c r="G91" s="19"/>
      <c r="H91" s="19"/>
      <c r="I91" s="23">
        <f>SUM(D91:H91)</f>
        <v>17</v>
      </c>
    </row>
    <row r="92" spans="1:9" x14ac:dyDescent="0.25">
      <c r="A92" s="12">
        <v>91</v>
      </c>
      <c r="B92" s="48">
        <v>2024927090</v>
      </c>
      <c r="C92" s="48" t="s">
        <v>34</v>
      </c>
      <c r="D92" s="19">
        <f>IFERROR(VLOOKUP(B92,'10-05-2026'!C:K,9,0), 0)</f>
        <v>7</v>
      </c>
      <c r="E92" s="19">
        <f>IFERROR(VLOOKUP(B92,Caza!C:K,9,0), 0)</f>
        <v>8</v>
      </c>
      <c r="F92" s="19"/>
      <c r="G92" s="19"/>
      <c r="H92" s="19"/>
      <c r="I92" s="23">
        <f>SUM(D92:H92)</f>
        <v>15</v>
      </c>
    </row>
    <row r="93" spans="1:9" x14ac:dyDescent="0.25">
      <c r="A93" s="12">
        <v>92</v>
      </c>
      <c r="B93" s="48">
        <v>1931591455</v>
      </c>
      <c r="C93" s="48" t="s">
        <v>115</v>
      </c>
      <c r="D93" s="19">
        <f>IFERROR(VLOOKUP(B93,'10-05-2026'!C:K,9,0), 0)</f>
        <v>6</v>
      </c>
      <c r="E93" s="19">
        <f>IFERROR(VLOOKUP(B93,Caza!C:K,9,0), 0)</f>
        <v>9</v>
      </c>
      <c r="F93" s="19"/>
      <c r="G93" s="19"/>
      <c r="H93" s="19"/>
      <c r="I93" s="23">
        <f>SUM(D93:H93)</f>
        <v>15</v>
      </c>
    </row>
    <row r="94" spans="1:9" x14ac:dyDescent="0.25">
      <c r="A94" s="12">
        <v>93</v>
      </c>
      <c r="B94" s="48">
        <v>2060348531</v>
      </c>
      <c r="C94" s="48" t="s">
        <v>64</v>
      </c>
      <c r="D94" s="19">
        <f>IFERROR(VLOOKUP(B94,'10-05-2026'!C:K,9,0), 0)</f>
        <v>6</v>
      </c>
      <c r="E94" s="19">
        <f>IFERROR(VLOOKUP(B94,Caza!C:K,9,0), 0)</f>
        <v>6</v>
      </c>
      <c r="F94" s="19"/>
      <c r="G94" s="19"/>
      <c r="H94" s="19"/>
      <c r="I94" s="23">
        <f>SUM(D94:H94)</f>
        <v>12</v>
      </c>
    </row>
    <row r="95" spans="1:9" x14ac:dyDescent="0.25">
      <c r="A95" s="12">
        <v>94</v>
      </c>
      <c r="B95" s="48">
        <v>2057192192</v>
      </c>
      <c r="C95" s="48" t="s">
        <v>46</v>
      </c>
      <c r="D95" s="19">
        <f>IFERROR(VLOOKUP(B95,'10-05-2026'!C:K,9,0), 0)</f>
        <v>4</v>
      </c>
      <c r="E95" s="19">
        <f>IFERROR(VLOOKUP(B95,Caza!C:K,9,0), 0)</f>
        <v>7</v>
      </c>
      <c r="F95" s="19"/>
      <c r="G95" s="19"/>
      <c r="H95" s="19"/>
      <c r="I95" s="23">
        <f>SUM(D95:H95)</f>
        <v>11</v>
      </c>
    </row>
    <row r="96" spans="1:9" x14ac:dyDescent="0.25">
      <c r="A96" s="12">
        <v>95</v>
      </c>
      <c r="B96" s="48">
        <v>2115871936</v>
      </c>
      <c r="C96" s="48" t="s">
        <v>104</v>
      </c>
      <c r="D96" s="19">
        <f>IFERROR(VLOOKUP(B96,'10-05-2026'!C:K,9,0), 0)</f>
        <v>4</v>
      </c>
      <c r="E96" s="19">
        <f>IFERROR(VLOOKUP(B96,Caza!C:K,9,0), 0)</f>
        <v>5</v>
      </c>
      <c r="F96" s="19"/>
      <c r="G96" s="19"/>
      <c r="H96" s="19"/>
      <c r="I96" s="23">
        <f>SUM(D96:H96)</f>
        <v>9</v>
      </c>
    </row>
    <row r="97" spans="1:9" x14ac:dyDescent="0.25">
      <c r="A97" s="12">
        <v>96</v>
      </c>
      <c r="B97" s="48">
        <v>952505208</v>
      </c>
      <c r="C97" s="48" t="s">
        <v>189</v>
      </c>
      <c r="D97" s="19">
        <f>IFERROR(VLOOKUP(B97,'10-05-2026'!C:K,9,0), 0)</f>
        <v>0</v>
      </c>
      <c r="E97" s="19">
        <f>IFERROR(VLOOKUP(B97,Caza!C:K,9,0), 0)</f>
        <v>9</v>
      </c>
      <c r="F97" s="19"/>
      <c r="G97" s="19"/>
      <c r="H97" s="19"/>
      <c r="I97" s="23">
        <f>SUM(D97:H97)</f>
        <v>9</v>
      </c>
    </row>
    <row r="98" spans="1:9" x14ac:dyDescent="0.25">
      <c r="A98" s="12">
        <v>97</v>
      </c>
      <c r="B98" s="48">
        <v>689818698</v>
      </c>
      <c r="C98" s="48" t="s">
        <v>194</v>
      </c>
      <c r="D98" s="19">
        <f>IFERROR(VLOOKUP(B98,'10-05-2026'!C:K,9,0), 0)</f>
        <v>0</v>
      </c>
      <c r="E98" s="19">
        <f>IFERROR(VLOOKUP(B98,Caza!C:K,9,0), 0)</f>
        <v>7</v>
      </c>
      <c r="F98" s="19"/>
      <c r="G98" s="19"/>
      <c r="H98" s="19"/>
      <c r="I98" s="23">
        <f>SUM(D98:H98)</f>
        <v>7</v>
      </c>
    </row>
    <row r="99" spans="1:9" x14ac:dyDescent="0.25">
      <c r="A99" s="12">
        <v>98</v>
      </c>
      <c r="B99" s="48">
        <v>319651861</v>
      </c>
      <c r="C99" s="48" t="s">
        <v>195</v>
      </c>
      <c r="D99" s="19">
        <f>IFERROR(VLOOKUP(B99,'10-05-2026'!C:K,9,0), 0)</f>
        <v>0</v>
      </c>
      <c r="E99" s="19">
        <f>IFERROR(VLOOKUP(B99,Caza!C:K,9,0), 0)</f>
        <v>6</v>
      </c>
      <c r="F99" s="19"/>
      <c r="G99" s="19"/>
      <c r="H99" s="19"/>
      <c r="I99" s="23">
        <f>SUM(D99:H99)</f>
        <v>6</v>
      </c>
    </row>
    <row r="100" spans="1:9" x14ac:dyDescent="0.25">
      <c r="A100" s="12">
        <v>99</v>
      </c>
      <c r="B100" s="48">
        <v>582104628</v>
      </c>
      <c r="C100" s="48" t="s">
        <v>196</v>
      </c>
      <c r="D100" s="19">
        <f>IFERROR(VLOOKUP(B100,'10-05-2026'!C:K,9,0), 0)</f>
        <v>0</v>
      </c>
      <c r="E100" s="19">
        <f>IFERROR(VLOOKUP(B100,Caza!C:K,9,0), 0)</f>
        <v>6</v>
      </c>
      <c r="F100" s="19"/>
      <c r="G100" s="19"/>
      <c r="H100" s="19"/>
      <c r="I100" s="23">
        <f>SUM(D100:H100)</f>
        <v>6</v>
      </c>
    </row>
    <row r="101" spans="1:9" x14ac:dyDescent="0.25">
      <c r="A101" s="12">
        <v>100</v>
      </c>
      <c r="B101" s="48">
        <v>874666931</v>
      </c>
      <c r="C101" s="48" t="s">
        <v>43</v>
      </c>
      <c r="D101" s="19">
        <f>IFERROR(VLOOKUP(B101,'10-05-2026'!C:K,9,0), 0)</f>
        <v>0</v>
      </c>
      <c r="E101" s="19">
        <f>IFERROR(VLOOKUP(B101,Caza!C:K,9,0), 0)</f>
        <v>5</v>
      </c>
      <c r="F101" s="19"/>
      <c r="G101" s="19"/>
      <c r="H101" s="19"/>
      <c r="I101" s="23">
        <f>SUM(D101:H101)</f>
        <v>5</v>
      </c>
    </row>
    <row r="102" spans="1:9" x14ac:dyDescent="0.25">
      <c r="A102" s="12">
        <v>101</v>
      </c>
      <c r="B102" s="48">
        <v>648763948</v>
      </c>
      <c r="C102" s="48" t="s">
        <v>193</v>
      </c>
      <c r="D102" s="19">
        <f>IFERROR(VLOOKUP(B102,'10-05-2026'!C:K,9,0), 0)</f>
        <v>0</v>
      </c>
      <c r="E102" s="19">
        <f>IFERROR(VLOOKUP(B102,Caza!C:K,9,0), 0)</f>
        <v>5</v>
      </c>
      <c r="F102" s="19"/>
      <c r="G102" s="19"/>
      <c r="H102" s="19"/>
      <c r="I102" s="23">
        <f>SUM(D102:H102)</f>
        <v>5</v>
      </c>
    </row>
    <row r="103" spans="1:9" x14ac:dyDescent="0.25">
      <c r="A103" s="12">
        <v>104</v>
      </c>
      <c r="B103" s="48">
        <v>1401689756</v>
      </c>
      <c r="C103" s="48" t="s">
        <v>197</v>
      </c>
      <c r="D103" s="19">
        <f>IFERROR(VLOOKUP(B103,'10-05-2026'!C:K,9,0), 0)</f>
        <v>0</v>
      </c>
      <c r="E103" s="19">
        <f>IFERROR(VLOOKUP(B103,Caza!C:K,9,0), 0)</f>
        <v>3</v>
      </c>
      <c r="F103" s="19"/>
      <c r="G103" s="19"/>
      <c r="H103" s="19"/>
      <c r="I103" s="23">
        <f>SUM(D103:H103)</f>
        <v>3</v>
      </c>
    </row>
    <row r="104" spans="1:9" x14ac:dyDescent="0.25">
      <c r="A104" s="12">
        <v>105</v>
      </c>
      <c r="B104" s="48">
        <v>2119238620</v>
      </c>
      <c r="C104" s="48" t="s">
        <v>164</v>
      </c>
      <c r="D104" s="19">
        <f>IFERROR(VLOOKUP(B104,'10-05-2026'!C:K,9,0), 0)</f>
        <v>0</v>
      </c>
      <c r="E104" s="19">
        <f>IFERROR(VLOOKUP(B104,Caza!C:K,9,0), 0)</f>
        <v>0</v>
      </c>
      <c r="F104" s="19"/>
      <c r="G104" s="19"/>
      <c r="H104" s="19"/>
      <c r="I104" s="23">
        <f>SUM(D104:H104)</f>
        <v>0</v>
      </c>
    </row>
    <row r="105" spans="1:9" x14ac:dyDescent="0.25">
      <c r="A105" s="12">
        <v>106</v>
      </c>
      <c r="B105" s="48">
        <v>807062911</v>
      </c>
      <c r="C105" s="48" t="s">
        <v>143</v>
      </c>
      <c r="D105" s="19">
        <f>IFERROR(VLOOKUP(B105,'10-05-2026'!C:K,9,0), 0)</f>
        <v>0</v>
      </c>
      <c r="E105" s="19">
        <f>IFERROR(VLOOKUP(B105,Caza!C:K,9,0), 0)</f>
        <v>0</v>
      </c>
      <c r="F105" s="19"/>
      <c r="G105" s="19"/>
      <c r="H105" s="19"/>
      <c r="I105" s="23">
        <f>SUM(D105:H105)</f>
        <v>0</v>
      </c>
    </row>
    <row r="106" spans="1:9" x14ac:dyDescent="0.25">
      <c r="A106" s="12">
        <v>107</v>
      </c>
      <c r="B106" s="48">
        <v>736031655</v>
      </c>
      <c r="C106" s="48" t="s">
        <v>192</v>
      </c>
      <c r="D106" s="19">
        <f>IFERROR(VLOOKUP(B106,'10-05-2026'!C:K,9,0), 0)</f>
        <v>0</v>
      </c>
      <c r="E106" s="19">
        <f>IFERROR(VLOOKUP(B106,Caza!C:K,9,0), 0)</f>
        <v>0</v>
      </c>
      <c r="F106" s="19"/>
      <c r="G106" s="19"/>
      <c r="H106" s="19"/>
      <c r="I106" s="23">
        <f>SUM(D106:H106)</f>
        <v>0</v>
      </c>
    </row>
    <row r="107" spans="1:9" x14ac:dyDescent="0.25">
      <c r="A107" s="12">
        <v>108</v>
      </c>
      <c r="B107" s="48">
        <v>1835847308</v>
      </c>
      <c r="C107" s="48" t="s">
        <v>173</v>
      </c>
      <c r="D107" s="19">
        <f>IFERROR(VLOOKUP(B107,'10-05-2026'!C:K,9,0), 0)</f>
        <v>0</v>
      </c>
      <c r="E107" s="19">
        <f>IFERROR(VLOOKUP(B107,Caza!C:K,9,0), 0)</f>
        <v>0</v>
      </c>
      <c r="F107" s="19"/>
      <c r="G107" s="19"/>
      <c r="H107" s="19"/>
      <c r="I107" s="23">
        <f>SUM(D107:H107)</f>
        <v>0</v>
      </c>
    </row>
    <row r="108" spans="1:9" x14ac:dyDescent="0.25">
      <c r="A108" s="12">
        <v>109</v>
      </c>
      <c r="B108" s="48">
        <v>1940642101</v>
      </c>
      <c r="C108" s="48" t="s">
        <v>106</v>
      </c>
      <c r="D108" s="19">
        <f>IFERROR(VLOOKUP(B108,'10-05-2026'!C:K,9,0), 0)</f>
        <v>0</v>
      </c>
      <c r="E108" s="19">
        <f>IFERROR(VLOOKUP(B108,Caza!C:K,9,0), 0)</f>
        <v>0</v>
      </c>
      <c r="F108" s="19"/>
      <c r="G108" s="19"/>
      <c r="H108" s="19"/>
      <c r="I108" s="23">
        <f>SUM(D108:H108)</f>
        <v>0</v>
      </c>
    </row>
    <row r="109" spans="1:9" x14ac:dyDescent="0.25">
      <c r="A109" s="12">
        <v>110</v>
      </c>
      <c r="B109" s="48">
        <v>677690297</v>
      </c>
      <c r="C109" s="48" t="s">
        <v>17</v>
      </c>
      <c r="D109" s="19">
        <f>IFERROR(VLOOKUP(B109,'10-05-2026'!C:K,9,0), 0)</f>
        <v>0</v>
      </c>
      <c r="E109" s="19">
        <f>IFERROR(VLOOKUP(B109,Caza!C:K,9,0), 0)</f>
        <v>0</v>
      </c>
      <c r="F109" s="19"/>
      <c r="G109" s="19"/>
      <c r="H109" s="19"/>
      <c r="I109" s="23">
        <f>SUM(D109:H109)</f>
        <v>0</v>
      </c>
    </row>
    <row r="110" spans="1:9" x14ac:dyDescent="0.25">
      <c r="A110" s="12">
        <v>111</v>
      </c>
      <c r="B110" s="48">
        <v>0</v>
      </c>
      <c r="C110" s="48" t="s">
        <v>116</v>
      </c>
      <c r="D110" s="19">
        <f>IFERROR(VLOOKUP(B110,'10-05-2026'!C:K,9,0), 0)</f>
        <v>0</v>
      </c>
      <c r="E110" s="19">
        <f>IFERROR(VLOOKUP(B110,Caza!C:K,9,0), 0)</f>
        <v>0</v>
      </c>
      <c r="F110" s="19"/>
      <c r="G110" s="19"/>
      <c r="H110" s="19"/>
      <c r="I110" s="23">
        <f>SUM(D110:H110)</f>
        <v>0</v>
      </c>
    </row>
    <row r="111" spans="1:9" x14ac:dyDescent="0.25">
      <c r="A111" s="12">
        <v>112</v>
      </c>
      <c r="B111" s="9"/>
      <c r="C111" s="9"/>
      <c r="D111" s="19"/>
      <c r="E111" s="19"/>
      <c r="F111" s="19"/>
      <c r="G111" s="19"/>
      <c r="H111" s="19"/>
      <c r="I111" s="23"/>
    </row>
    <row r="112" spans="1:9" x14ac:dyDescent="0.25">
      <c r="A112" s="12">
        <v>113</v>
      </c>
      <c r="B112" s="9"/>
      <c r="C112" s="9"/>
      <c r="D112" s="19"/>
      <c r="E112" s="19"/>
      <c r="F112" s="19"/>
      <c r="G112" s="19"/>
      <c r="H112" s="19"/>
      <c r="I112" s="23"/>
    </row>
    <row r="113" spans="1:9" x14ac:dyDescent="0.25">
      <c r="A113" s="12">
        <v>114</v>
      </c>
      <c r="B113" s="9"/>
      <c r="C113" s="9"/>
      <c r="D113" s="19"/>
      <c r="E113" s="19"/>
      <c r="F113" s="19"/>
      <c r="G113" s="19"/>
      <c r="H113" s="19"/>
      <c r="I113" s="23"/>
    </row>
    <row r="114" spans="1:9" x14ac:dyDescent="0.25">
      <c r="A114" s="12">
        <v>115</v>
      </c>
      <c r="B114" s="9"/>
      <c r="C114" s="9"/>
      <c r="D114" s="19"/>
      <c r="E114" s="19"/>
      <c r="F114" s="19"/>
      <c r="G114" s="19"/>
      <c r="H114" s="19"/>
      <c r="I114" s="23"/>
    </row>
    <row r="115" spans="1:9" x14ac:dyDescent="0.25">
      <c r="A115" s="12">
        <v>116</v>
      </c>
      <c r="B115" s="9"/>
      <c r="C115" s="9"/>
      <c r="D115" s="19"/>
      <c r="E115" s="19"/>
      <c r="F115" s="19"/>
      <c r="G115" s="19"/>
      <c r="H115" s="19"/>
      <c r="I115" s="23"/>
    </row>
  </sheetData>
  <autoFilter ref="B1:I97" xr:uid="{7C785A9D-A059-4BB3-964A-E1078E880C04}">
    <sortState xmlns:xlrd2="http://schemas.microsoft.com/office/spreadsheetml/2017/richdata2" ref="B2:I115">
      <sortCondition descending="1" ref="I1:I97"/>
    </sortState>
  </autoFilter>
  <conditionalFormatting sqref="B2:B56">
    <cfRule type="beginsWith" dxfId="183" priority="1" operator="beginsWith" text="Cumplio">
      <formula>LEFT(B2,LEN("Cumplio"))="Cumplio"</formula>
    </cfRule>
    <cfRule type="containsText" dxfId="182" priority="2" operator="containsText" text="No cumplio">
      <formula>NOT(ISERROR(SEARCH("No cumplio",B2)))</formula>
    </cfRule>
  </conditionalFormatting>
  <conditionalFormatting sqref="B2:C110">
    <cfRule type="duplicateValues" dxfId="181" priority="3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E3F6-BAE0-4823-BE16-881DFA02FB08}">
  <dimension ref="A1:B107"/>
  <sheetViews>
    <sheetView workbookViewId="0">
      <selection activeCell="A17" sqref="A17:B17"/>
    </sheetView>
  </sheetViews>
  <sheetFormatPr baseColWidth="10" defaultRowHeight="15" x14ac:dyDescent="0.25"/>
  <cols>
    <col min="1" max="1" width="11" bestFit="1" customWidth="1"/>
    <col min="2" max="2" width="13.28515625" bestFit="1" customWidth="1"/>
  </cols>
  <sheetData>
    <row r="1" spans="1:2" x14ac:dyDescent="0.25">
      <c r="A1" s="10" t="s">
        <v>98</v>
      </c>
      <c r="B1" s="10" t="s">
        <v>7</v>
      </c>
    </row>
    <row r="2" spans="1:2" x14ac:dyDescent="0.25">
      <c r="A2" s="37">
        <v>1367372226</v>
      </c>
      <c r="B2" s="9" t="s">
        <v>94</v>
      </c>
    </row>
    <row r="3" spans="1:2" x14ac:dyDescent="0.25">
      <c r="A3" s="9">
        <v>1940642101</v>
      </c>
      <c r="B3" s="9" t="s">
        <v>82</v>
      </c>
    </row>
    <row r="4" spans="1:2" x14ac:dyDescent="0.25">
      <c r="A4" s="9">
        <v>2057192192</v>
      </c>
      <c r="B4" s="9" t="s">
        <v>46</v>
      </c>
    </row>
    <row r="5" spans="1:2" x14ac:dyDescent="0.25">
      <c r="A5" s="9">
        <v>2024927090</v>
      </c>
      <c r="B5" s="9" t="s">
        <v>34</v>
      </c>
    </row>
    <row r="6" spans="1:2" x14ac:dyDescent="0.25">
      <c r="A6" s="9">
        <v>2060348531</v>
      </c>
      <c r="B6" s="9" t="s">
        <v>64</v>
      </c>
    </row>
    <row r="7" spans="1:2" x14ac:dyDescent="0.25">
      <c r="A7" s="9">
        <v>1338792213</v>
      </c>
      <c r="B7" s="9" t="s">
        <v>96</v>
      </c>
    </row>
    <row r="8" spans="1:2" x14ac:dyDescent="0.25">
      <c r="A8" s="9">
        <v>677690297</v>
      </c>
      <c r="B8" s="9" t="s">
        <v>17</v>
      </c>
    </row>
    <row r="9" spans="1:2" x14ac:dyDescent="0.25">
      <c r="A9" s="9">
        <v>600359996</v>
      </c>
      <c r="B9" s="9" t="s">
        <v>97</v>
      </c>
    </row>
    <row r="10" spans="1:2" x14ac:dyDescent="0.25">
      <c r="A10" s="9">
        <v>2115871936</v>
      </c>
      <c r="B10" s="9" t="s">
        <v>104</v>
      </c>
    </row>
    <row r="11" spans="1:2" x14ac:dyDescent="0.25">
      <c r="A11" s="9">
        <v>1390607562</v>
      </c>
      <c r="B11" s="9" t="s">
        <v>165</v>
      </c>
    </row>
    <row r="12" spans="1:2" x14ac:dyDescent="0.25">
      <c r="A12" s="9">
        <v>1931591455</v>
      </c>
      <c r="B12" s="9" t="s">
        <v>115</v>
      </c>
    </row>
    <row r="13" spans="1:2" x14ac:dyDescent="0.25">
      <c r="A13" s="9">
        <v>1211883975</v>
      </c>
      <c r="B13" s="9" t="s">
        <v>156</v>
      </c>
    </row>
    <row r="14" spans="1:2" x14ac:dyDescent="0.25">
      <c r="A14" s="9">
        <v>1835847308</v>
      </c>
      <c r="B14" s="9" t="s">
        <v>173</v>
      </c>
    </row>
    <row r="15" spans="1:2" x14ac:dyDescent="0.25">
      <c r="A15" s="9">
        <v>1483867967</v>
      </c>
      <c r="B15" s="9" t="s">
        <v>171</v>
      </c>
    </row>
    <row r="16" spans="1:2" x14ac:dyDescent="0.25">
      <c r="A16" s="9">
        <v>1264043363</v>
      </c>
      <c r="B16" s="9" t="s">
        <v>154</v>
      </c>
    </row>
    <row r="17" spans="1:2" x14ac:dyDescent="0.25">
      <c r="A17" s="48">
        <v>1067470462</v>
      </c>
      <c r="B17" s="48" t="s">
        <v>160</v>
      </c>
    </row>
    <row r="18" spans="1:2" x14ac:dyDescent="0.25">
      <c r="A18" s="9"/>
      <c r="B18" s="36"/>
    </row>
    <row r="19" spans="1:2" x14ac:dyDescent="0.25">
      <c r="A19" s="9"/>
      <c r="B19" s="36"/>
    </row>
    <row r="20" spans="1:2" x14ac:dyDescent="0.25">
      <c r="A20" s="9"/>
      <c r="B20" s="36"/>
    </row>
    <row r="21" spans="1:2" x14ac:dyDescent="0.25">
      <c r="A21" s="9"/>
      <c r="B21" s="36"/>
    </row>
    <row r="22" spans="1:2" x14ac:dyDescent="0.25">
      <c r="A22" s="15"/>
      <c r="B22" s="36"/>
    </row>
    <row r="23" spans="1:2" x14ac:dyDescent="0.25">
      <c r="A23" s="15"/>
      <c r="B23" s="36"/>
    </row>
    <row r="24" spans="1:2" x14ac:dyDescent="0.25">
      <c r="A24" s="14"/>
      <c r="B24" s="36"/>
    </row>
    <row r="25" spans="1:2" x14ac:dyDescent="0.25">
      <c r="A25" s="14"/>
      <c r="B25" s="36"/>
    </row>
    <row r="26" spans="1:2" x14ac:dyDescent="0.25">
      <c r="A26" s="15"/>
      <c r="B26" s="36"/>
    </row>
    <row r="27" spans="1:2" x14ac:dyDescent="0.25">
      <c r="A27" s="14"/>
      <c r="B27" s="36"/>
    </row>
    <row r="28" spans="1:2" x14ac:dyDescent="0.25">
      <c r="A28" s="15"/>
      <c r="B28" s="36"/>
    </row>
    <row r="29" spans="1:2" x14ac:dyDescent="0.25">
      <c r="A29" s="14"/>
      <c r="B29" s="36"/>
    </row>
    <row r="30" spans="1:2" x14ac:dyDescent="0.25">
      <c r="A30" s="15"/>
      <c r="B30" s="36"/>
    </row>
    <row r="31" spans="1:2" x14ac:dyDescent="0.25">
      <c r="A31" s="15"/>
      <c r="B31" s="36"/>
    </row>
    <row r="32" spans="1:2" x14ac:dyDescent="0.25">
      <c r="A32" s="15"/>
      <c r="B32" s="36"/>
    </row>
    <row r="33" spans="1:2" x14ac:dyDescent="0.25">
      <c r="A33" s="15"/>
      <c r="B33" s="36"/>
    </row>
    <row r="34" spans="1:2" x14ac:dyDescent="0.25">
      <c r="A34" s="15"/>
      <c r="B34" s="36"/>
    </row>
    <row r="35" spans="1:2" x14ac:dyDescent="0.25">
      <c r="A35" s="15"/>
      <c r="B35" s="36"/>
    </row>
    <row r="36" spans="1:2" x14ac:dyDescent="0.25">
      <c r="A36" s="15"/>
      <c r="B36" s="36"/>
    </row>
    <row r="37" spans="1:2" x14ac:dyDescent="0.25">
      <c r="A37" s="15"/>
      <c r="B37" s="36"/>
    </row>
    <row r="38" spans="1:2" x14ac:dyDescent="0.25">
      <c r="A38" s="15"/>
      <c r="B38" s="36"/>
    </row>
    <row r="39" spans="1:2" x14ac:dyDescent="0.25">
      <c r="A39" s="15"/>
      <c r="B39" s="36"/>
    </row>
    <row r="40" spans="1:2" x14ac:dyDescent="0.25">
      <c r="A40" s="15"/>
      <c r="B40" s="36"/>
    </row>
    <row r="41" spans="1:2" x14ac:dyDescent="0.25">
      <c r="A41" s="15"/>
      <c r="B41" s="36"/>
    </row>
    <row r="42" spans="1:2" x14ac:dyDescent="0.25">
      <c r="A42" s="15"/>
      <c r="B42" s="36"/>
    </row>
    <row r="43" spans="1:2" x14ac:dyDescent="0.25">
      <c r="A43" s="15"/>
      <c r="B43" s="36"/>
    </row>
    <row r="44" spans="1:2" x14ac:dyDescent="0.25">
      <c r="A44" s="15"/>
      <c r="B44" s="36"/>
    </row>
    <row r="45" spans="1:2" x14ac:dyDescent="0.25">
      <c r="A45" s="15"/>
      <c r="B45" s="36"/>
    </row>
    <row r="46" spans="1:2" x14ac:dyDescent="0.25">
      <c r="A46" s="15"/>
      <c r="B46" s="36"/>
    </row>
    <row r="47" spans="1:2" x14ac:dyDescent="0.25">
      <c r="A47" s="15"/>
      <c r="B47" s="36"/>
    </row>
    <row r="48" spans="1:2" x14ac:dyDescent="0.25">
      <c r="A48" s="15"/>
      <c r="B48" s="36"/>
    </row>
    <row r="49" spans="1:2" x14ac:dyDescent="0.25">
      <c r="A49" s="15"/>
      <c r="B49" s="36"/>
    </row>
    <row r="50" spans="1:2" x14ac:dyDescent="0.25">
      <c r="A50" s="15"/>
      <c r="B50" s="36"/>
    </row>
    <row r="51" spans="1:2" x14ac:dyDescent="0.25">
      <c r="A51" s="15"/>
      <c r="B51" s="36"/>
    </row>
    <row r="52" spans="1:2" x14ac:dyDescent="0.25">
      <c r="A52" s="15"/>
      <c r="B52" s="36"/>
    </row>
    <row r="53" spans="1:2" x14ac:dyDescent="0.25">
      <c r="A53" s="15"/>
      <c r="B53" s="36"/>
    </row>
    <row r="54" spans="1:2" x14ac:dyDescent="0.25">
      <c r="A54" s="14"/>
      <c r="B54" s="36"/>
    </row>
    <row r="55" spans="1:2" x14ac:dyDescent="0.25">
      <c r="A55" s="15"/>
      <c r="B55" s="36"/>
    </row>
    <row r="56" spans="1:2" x14ac:dyDescent="0.25">
      <c r="A56" s="15"/>
      <c r="B56" s="36"/>
    </row>
    <row r="57" spans="1:2" x14ac:dyDescent="0.25">
      <c r="A57" s="14"/>
      <c r="B57" s="36"/>
    </row>
    <row r="58" spans="1:2" x14ac:dyDescent="0.25">
      <c r="A58" s="14"/>
      <c r="B58" s="36"/>
    </row>
    <row r="59" spans="1:2" x14ac:dyDescent="0.25">
      <c r="A59" s="14"/>
      <c r="B59" s="36"/>
    </row>
    <row r="60" spans="1:2" x14ac:dyDescent="0.25">
      <c r="A60" s="14"/>
      <c r="B60" s="36"/>
    </row>
    <row r="61" spans="1:2" x14ac:dyDescent="0.25">
      <c r="A61" s="14"/>
      <c r="B61" s="36"/>
    </row>
    <row r="62" spans="1:2" x14ac:dyDescent="0.25">
      <c r="A62" s="14"/>
      <c r="B62" s="36"/>
    </row>
    <row r="63" spans="1:2" x14ac:dyDescent="0.25">
      <c r="A63" s="14"/>
      <c r="B63" s="36"/>
    </row>
    <row r="64" spans="1:2" x14ac:dyDescent="0.25">
      <c r="A64" s="14"/>
      <c r="B64" s="36"/>
    </row>
    <row r="65" spans="1:2" x14ac:dyDescent="0.25">
      <c r="A65" s="9"/>
      <c r="B65" s="36"/>
    </row>
    <row r="66" spans="1:2" x14ac:dyDescent="0.25">
      <c r="A66" s="15"/>
      <c r="B66" s="36"/>
    </row>
    <row r="67" spans="1:2" x14ac:dyDescent="0.25">
      <c r="A67" s="15"/>
      <c r="B67" s="36"/>
    </row>
    <row r="68" spans="1:2" x14ac:dyDescent="0.25">
      <c r="A68" s="15"/>
      <c r="B68" s="36"/>
    </row>
    <row r="69" spans="1:2" x14ac:dyDescent="0.25">
      <c r="A69" s="15"/>
      <c r="B69" s="36"/>
    </row>
    <row r="70" spans="1:2" x14ac:dyDescent="0.25">
      <c r="A70" s="15"/>
      <c r="B70" s="36"/>
    </row>
    <row r="71" spans="1:2" x14ac:dyDescent="0.25">
      <c r="A71" s="15"/>
      <c r="B71" s="36"/>
    </row>
    <row r="72" spans="1:2" x14ac:dyDescent="0.25">
      <c r="A72" s="15"/>
      <c r="B72" s="36"/>
    </row>
    <row r="73" spans="1:2" x14ac:dyDescent="0.25">
      <c r="A73" s="15"/>
      <c r="B73" s="36"/>
    </row>
    <row r="74" spans="1:2" x14ac:dyDescent="0.25">
      <c r="A74" s="15"/>
      <c r="B74" s="36"/>
    </row>
    <row r="75" spans="1:2" x14ac:dyDescent="0.25">
      <c r="A75" s="15"/>
      <c r="B75" s="36"/>
    </row>
    <row r="76" spans="1:2" x14ac:dyDescent="0.25">
      <c r="A76" s="15"/>
      <c r="B76" s="36"/>
    </row>
    <row r="77" spans="1:2" x14ac:dyDescent="0.25">
      <c r="A77" s="15"/>
      <c r="B77" s="36"/>
    </row>
    <row r="78" spans="1:2" x14ac:dyDescent="0.25">
      <c r="A78" s="15"/>
      <c r="B78" s="36"/>
    </row>
    <row r="79" spans="1:2" x14ac:dyDescent="0.25">
      <c r="A79" s="15"/>
      <c r="B79" s="36"/>
    </row>
    <row r="80" spans="1:2" x14ac:dyDescent="0.25">
      <c r="A80" s="15"/>
      <c r="B80" s="36"/>
    </row>
    <row r="81" spans="1:2" x14ac:dyDescent="0.25">
      <c r="A81" s="14"/>
      <c r="B81" s="36"/>
    </row>
    <row r="82" spans="1:2" x14ac:dyDescent="0.25">
      <c r="A82" s="15"/>
      <c r="B82" s="36"/>
    </row>
    <row r="83" spans="1:2" x14ac:dyDescent="0.25">
      <c r="A83" s="15"/>
      <c r="B83" s="36"/>
    </row>
    <row r="84" spans="1:2" x14ac:dyDescent="0.25">
      <c r="A84" s="15"/>
      <c r="B84" s="36"/>
    </row>
    <row r="85" spans="1:2" x14ac:dyDescent="0.25">
      <c r="A85" s="15"/>
      <c r="B85" s="36"/>
    </row>
    <row r="86" spans="1:2" x14ac:dyDescent="0.25">
      <c r="A86" s="15"/>
      <c r="B86" s="36"/>
    </row>
    <row r="87" spans="1:2" x14ac:dyDescent="0.25">
      <c r="A87" s="15"/>
      <c r="B87" s="36"/>
    </row>
    <row r="88" spans="1:2" x14ac:dyDescent="0.25">
      <c r="A88" s="15"/>
      <c r="B88" s="36"/>
    </row>
    <row r="89" spans="1:2" x14ac:dyDescent="0.25">
      <c r="A89" s="15"/>
      <c r="B89" s="36"/>
    </row>
    <row r="90" spans="1:2" x14ac:dyDescent="0.25">
      <c r="A90" s="9"/>
      <c r="B90" s="36"/>
    </row>
    <row r="91" spans="1:2" x14ac:dyDescent="0.25">
      <c r="A91" s="15"/>
      <c r="B91" s="36"/>
    </row>
    <row r="92" spans="1:2" x14ac:dyDescent="0.25">
      <c r="A92" s="15"/>
      <c r="B92" s="36"/>
    </row>
    <row r="93" spans="1:2" x14ac:dyDescent="0.25">
      <c r="A93" s="15"/>
      <c r="B93" s="36"/>
    </row>
    <row r="94" spans="1:2" x14ac:dyDescent="0.25">
      <c r="A94" s="14"/>
      <c r="B94" s="36"/>
    </row>
    <row r="95" spans="1:2" x14ac:dyDescent="0.25">
      <c r="A95" s="14"/>
      <c r="B95" s="36"/>
    </row>
    <row r="96" spans="1:2" x14ac:dyDescent="0.25">
      <c r="A96" s="15"/>
      <c r="B96" s="36"/>
    </row>
    <row r="97" spans="1:2" x14ac:dyDescent="0.25">
      <c r="A97" s="14"/>
      <c r="B97" s="36"/>
    </row>
    <row r="98" spans="1:2" x14ac:dyDescent="0.25">
      <c r="A98" s="15"/>
      <c r="B98" s="36"/>
    </row>
    <row r="99" spans="1:2" x14ac:dyDescent="0.25">
      <c r="A99" s="15"/>
      <c r="B99" s="36"/>
    </row>
    <row r="100" spans="1:2" x14ac:dyDescent="0.25">
      <c r="A100" s="15"/>
      <c r="B100" s="36"/>
    </row>
    <row r="101" spans="1:2" x14ac:dyDescent="0.25">
      <c r="A101" s="15"/>
      <c r="B101" s="36"/>
    </row>
    <row r="102" spans="1:2" x14ac:dyDescent="0.25">
      <c r="A102" s="15"/>
      <c r="B102" s="36"/>
    </row>
    <row r="103" spans="1:2" x14ac:dyDescent="0.25">
      <c r="A103" s="15"/>
      <c r="B103" s="36"/>
    </row>
    <row r="104" spans="1:2" x14ac:dyDescent="0.25">
      <c r="A104" s="9"/>
      <c r="B104" s="36"/>
    </row>
    <row r="105" spans="1:2" x14ac:dyDescent="0.25">
      <c r="A105" s="15"/>
      <c r="B105" s="36"/>
    </row>
    <row r="106" spans="1:2" x14ac:dyDescent="0.25">
      <c r="A106" s="15"/>
      <c r="B106" s="36"/>
    </row>
    <row r="107" spans="1:2" x14ac:dyDescent="0.25">
      <c r="A107" s="15"/>
      <c r="B107" s="38"/>
    </row>
  </sheetData>
  <phoneticPr fontId="4" type="noConversion"/>
  <conditionalFormatting sqref="B2">
    <cfRule type="duplicateValues" dxfId="180" priority="42"/>
  </conditionalFormatting>
  <conditionalFormatting sqref="A3">
    <cfRule type="beginsWith" dxfId="179" priority="35" operator="beginsWith" text="Cumplio">
      <formula>LEFT(A3,LEN("Cumplio"))="Cumplio"</formula>
    </cfRule>
    <cfRule type="containsText" dxfId="178" priority="36" operator="containsText" text="No cumplio">
      <formula>NOT(ISERROR(SEARCH("No cumplio",A3)))</formula>
    </cfRule>
  </conditionalFormatting>
  <conditionalFormatting sqref="A3:B3">
    <cfRule type="duplicateValues" dxfId="177" priority="37"/>
  </conditionalFormatting>
  <conditionalFormatting sqref="A4">
    <cfRule type="beginsWith" dxfId="176" priority="32" operator="beginsWith" text="Cumplio">
      <formula>LEFT(A4,LEN("Cumplio"))="Cumplio"</formula>
    </cfRule>
    <cfRule type="containsText" dxfId="175" priority="33" operator="containsText" text="No cumplio">
      <formula>NOT(ISERROR(SEARCH("No cumplio",A4)))</formula>
    </cfRule>
  </conditionalFormatting>
  <conditionalFormatting sqref="A4:B4">
    <cfRule type="duplicateValues" dxfId="174" priority="34"/>
  </conditionalFormatting>
  <conditionalFormatting sqref="A5">
    <cfRule type="beginsWith" dxfId="173" priority="29" operator="beginsWith" text="Cumplio">
      <formula>LEFT(A5,LEN("Cumplio"))="Cumplio"</formula>
    </cfRule>
    <cfRule type="containsText" dxfId="172" priority="30" operator="containsText" text="No cumplio">
      <formula>NOT(ISERROR(SEARCH("No cumplio",A5)))</formula>
    </cfRule>
  </conditionalFormatting>
  <conditionalFormatting sqref="A5:B5">
    <cfRule type="duplicateValues" dxfId="171" priority="31"/>
  </conditionalFormatting>
  <conditionalFormatting sqref="A6">
    <cfRule type="beginsWith" dxfId="170" priority="26" operator="beginsWith" text="Cumplio">
      <formula>LEFT(A6,LEN("Cumplio"))="Cumplio"</formula>
    </cfRule>
    <cfRule type="containsText" dxfId="169" priority="27" operator="containsText" text="No cumplio">
      <formula>NOT(ISERROR(SEARCH("No cumplio",A6)))</formula>
    </cfRule>
  </conditionalFormatting>
  <conditionalFormatting sqref="A6:B6">
    <cfRule type="duplicateValues" dxfId="168" priority="28"/>
  </conditionalFormatting>
  <conditionalFormatting sqref="A7">
    <cfRule type="beginsWith" dxfId="167" priority="23" operator="beginsWith" text="Cumplio">
      <formula>LEFT(A7,LEN("Cumplio"))="Cumplio"</formula>
    </cfRule>
    <cfRule type="containsText" dxfId="166" priority="24" operator="containsText" text="No cumplio">
      <formula>NOT(ISERROR(SEARCH("No cumplio",A7)))</formula>
    </cfRule>
  </conditionalFormatting>
  <conditionalFormatting sqref="A7:B7">
    <cfRule type="duplicateValues" dxfId="165" priority="25"/>
  </conditionalFormatting>
  <conditionalFormatting sqref="A8">
    <cfRule type="beginsWith" dxfId="164" priority="20" operator="beginsWith" text="Cumplio">
      <formula>LEFT(A8,LEN("Cumplio"))="Cumplio"</formula>
    </cfRule>
    <cfRule type="containsText" dxfId="163" priority="21" operator="containsText" text="No cumplio">
      <formula>NOT(ISERROR(SEARCH("No cumplio",A8)))</formula>
    </cfRule>
  </conditionalFormatting>
  <conditionalFormatting sqref="A8:B8">
    <cfRule type="duplicateValues" dxfId="162" priority="22"/>
  </conditionalFormatting>
  <conditionalFormatting sqref="A9">
    <cfRule type="beginsWith" dxfId="161" priority="17" operator="beginsWith" text="Cumplio">
      <formula>LEFT(A9,LEN("Cumplio"))="Cumplio"</formula>
    </cfRule>
    <cfRule type="containsText" dxfId="160" priority="18" operator="containsText" text="No cumplio">
      <formula>NOT(ISERROR(SEARCH("No cumplio",A9)))</formula>
    </cfRule>
  </conditionalFormatting>
  <conditionalFormatting sqref="A9:B9">
    <cfRule type="duplicateValues" dxfId="159" priority="19"/>
  </conditionalFormatting>
  <conditionalFormatting sqref="A10">
    <cfRule type="beginsWith" dxfId="158" priority="14" operator="beginsWith" text="Cumplio">
      <formula>LEFT(A10,LEN("Cumplio"))="Cumplio"</formula>
    </cfRule>
    <cfRule type="containsText" dxfId="157" priority="15" operator="containsText" text="No cumplio">
      <formula>NOT(ISERROR(SEARCH("No cumplio",A10)))</formula>
    </cfRule>
  </conditionalFormatting>
  <conditionalFormatting sqref="A10:B10">
    <cfRule type="duplicateValues" dxfId="156" priority="16"/>
  </conditionalFormatting>
  <conditionalFormatting sqref="A11">
    <cfRule type="beginsWith" dxfId="155" priority="11" operator="beginsWith" text="Cumplio">
      <formula>LEFT(A11,LEN("Cumplio"))="Cumplio"</formula>
    </cfRule>
    <cfRule type="containsText" dxfId="154" priority="12" operator="containsText" text="No cumplio">
      <formula>NOT(ISERROR(SEARCH("No cumplio",A11)))</formula>
    </cfRule>
  </conditionalFormatting>
  <conditionalFormatting sqref="A11:B11">
    <cfRule type="duplicateValues" dxfId="153" priority="13"/>
  </conditionalFormatting>
  <conditionalFormatting sqref="A12:B12">
    <cfRule type="duplicateValues" dxfId="152" priority="10"/>
  </conditionalFormatting>
  <conditionalFormatting sqref="A13:B13">
    <cfRule type="duplicateValues" dxfId="151" priority="9"/>
  </conditionalFormatting>
  <conditionalFormatting sqref="A14:B14">
    <cfRule type="duplicateValues" dxfId="150" priority="8"/>
  </conditionalFormatting>
  <conditionalFormatting sqref="A15">
    <cfRule type="beginsWith" dxfId="149" priority="5" operator="beginsWith" text="Cumplio">
      <formula>LEFT(A15,LEN("Cumplio"))="Cumplio"</formula>
    </cfRule>
    <cfRule type="containsText" dxfId="148" priority="6" operator="containsText" text="No cumplio">
      <formula>NOT(ISERROR(SEARCH("No cumplio",A15)))</formula>
    </cfRule>
  </conditionalFormatting>
  <conditionalFormatting sqref="A15:B15">
    <cfRule type="duplicateValues" dxfId="147" priority="7"/>
  </conditionalFormatting>
  <conditionalFormatting sqref="A16:B16">
    <cfRule type="duplicateValues" dxfId="146" priority="4"/>
  </conditionalFormatting>
  <conditionalFormatting sqref="A17">
    <cfRule type="beginsWith" dxfId="145" priority="1" operator="beginsWith" text="Cumplio">
      <formula>LEFT(A17,LEN("Cumplio"))="Cumplio"</formula>
    </cfRule>
    <cfRule type="containsText" dxfId="144" priority="2" operator="containsText" text="No cumplio">
      <formula>NOT(ISERROR(SEARCH("No cumplio",A17)))</formula>
    </cfRule>
  </conditionalFormatting>
  <conditionalFormatting sqref="A17:B17">
    <cfRule type="duplicateValues" dxfId="143" priority="3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06370-37F7-4020-86F7-635F32CD298A}">
  <dimension ref="A1:T8"/>
  <sheetViews>
    <sheetView zoomScaleNormal="100" workbookViewId="0">
      <selection activeCell="P13" sqref="P13:P14"/>
    </sheetView>
  </sheetViews>
  <sheetFormatPr baseColWidth="10" defaultRowHeight="15" x14ac:dyDescent="0.25"/>
  <cols>
    <col min="1" max="1" width="16.28515625" bestFit="1" customWidth="1"/>
    <col min="2" max="2" width="11.140625" bestFit="1" customWidth="1"/>
    <col min="3" max="3" width="11.85546875" bestFit="1" customWidth="1"/>
    <col min="4" max="4" width="16.140625" bestFit="1" customWidth="1"/>
    <col min="5" max="5" width="18" hidden="1" customWidth="1"/>
    <col min="6" max="10" width="10.7109375" hidden="1" customWidth="1"/>
    <col min="11" max="12" width="16.5703125" hidden="1" customWidth="1"/>
    <col min="13" max="13" width="11" customWidth="1"/>
    <col min="14" max="14" width="16.85546875" customWidth="1"/>
    <col min="15" max="15" width="18" bestFit="1" customWidth="1"/>
    <col min="16" max="16" width="18" customWidth="1"/>
    <col min="17" max="17" width="17.42578125" customWidth="1"/>
    <col min="18" max="18" width="11.28515625" bestFit="1" customWidth="1"/>
    <col min="19" max="19" width="14.140625" bestFit="1" customWidth="1"/>
  </cols>
  <sheetData>
    <row r="1" spans="1:20" x14ac:dyDescent="0.25">
      <c r="A1" s="2" t="s">
        <v>3</v>
      </c>
      <c r="B1" s="2" t="s">
        <v>2</v>
      </c>
      <c r="C1" s="2" t="s">
        <v>57</v>
      </c>
      <c r="D1" s="2" t="s">
        <v>0</v>
      </c>
      <c r="E1" s="3" t="s">
        <v>4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22" t="s">
        <v>21</v>
      </c>
      <c r="L1" s="22" t="s">
        <v>22</v>
      </c>
      <c r="M1" s="5" t="s">
        <v>50</v>
      </c>
      <c r="N1" s="30" t="s">
        <v>56</v>
      </c>
      <c r="O1" s="31" t="s">
        <v>62</v>
      </c>
      <c r="P1" s="45" t="s">
        <v>167</v>
      </c>
      <c r="Q1" s="34">
        <v>46152</v>
      </c>
      <c r="R1" s="34"/>
      <c r="S1" s="34"/>
      <c r="T1" s="34"/>
    </row>
    <row r="2" spans="1:20" x14ac:dyDescent="0.25">
      <c r="A2" s="11" t="s">
        <v>88</v>
      </c>
      <c r="B2" s="16" t="s">
        <v>47</v>
      </c>
      <c r="C2" s="48">
        <v>852051372</v>
      </c>
      <c r="D2" s="48" t="s">
        <v>152</v>
      </c>
      <c r="E2" s="28">
        <v>15</v>
      </c>
      <c r="F2" s="49">
        <v>0</v>
      </c>
      <c r="G2" s="49">
        <v>12</v>
      </c>
      <c r="H2" s="49">
        <v>3</v>
      </c>
      <c r="I2" s="49">
        <v>0</v>
      </c>
      <c r="J2" s="49">
        <v>0</v>
      </c>
      <c r="K2" s="25">
        <v>27</v>
      </c>
      <c r="L2" s="24">
        <v>105</v>
      </c>
      <c r="M2" s="17">
        <v>8</v>
      </c>
      <c r="N2" s="52">
        <f>IFERROR(VLOOKUP(C2,Numeros!A:C,3,0),584121633097)</f>
        <v>5216671187009</v>
      </c>
      <c r="O2" s="53">
        <f>SUM(M2,Q2,R2,S2)+35</f>
        <v>43</v>
      </c>
      <c r="P2" s="53" t="b">
        <f>COUNTIF('10-05-2026'!C:C, C2)&gt;0</f>
        <v>1</v>
      </c>
      <c r="Q2">
        <v>0</v>
      </c>
    </row>
    <row r="3" spans="1:20" x14ac:dyDescent="0.25">
      <c r="A3" s="11" t="s">
        <v>88</v>
      </c>
      <c r="B3" s="16" t="s">
        <v>47</v>
      </c>
      <c r="C3" s="48">
        <v>807062911</v>
      </c>
      <c r="D3" s="48" t="s">
        <v>143</v>
      </c>
      <c r="E3" s="28">
        <v>0</v>
      </c>
      <c r="F3" s="49">
        <v>0</v>
      </c>
      <c r="G3" s="49">
        <v>0</v>
      </c>
      <c r="H3" s="49">
        <v>0</v>
      </c>
      <c r="I3" s="49">
        <v>0</v>
      </c>
      <c r="J3" s="49">
        <v>0</v>
      </c>
      <c r="K3" s="25">
        <v>0</v>
      </c>
      <c r="L3" s="24">
        <v>0</v>
      </c>
      <c r="M3" s="17">
        <v>35</v>
      </c>
      <c r="N3" s="52">
        <f>IFERROR(VLOOKUP(C3,Numeros!A:C,3,0),584121633097)</f>
        <v>51992833496</v>
      </c>
      <c r="O3" s="53">
        <f>SUM(M3,Q3,R3,S3)+35</f>
        <v>105</v>
      </c>
      <c r="P3" s="53" t="b">
        <f>COUNTIF('10-05-2026'!C:C, C3)&gt;0</f>
        <v>1</v>
      </c>
      <c r="Q3">
        <f>VLOOKUP(C3,'10-05-2026'!C:M,11,0)</f>
        <v>35</v>
      </c>
    </row>
    <row r="4" spans="1:20" x14ac:dyDescent="0.25">
      <c r="A4" s="11" t="s">
        <v>88</v>
      </c>
      <c r="B4" s="16" t="s">
        <v>47</v>
      </c>
      <c r="C4" s="48">
        <v>1040811175</v>
      </c>
      <c r="D4" s="48" t="s">
        <v>145</v>
      </c>
      <c r="E4" s="28">
        <v>22</v>
      </c>
      <c r="F4" s="49">
        <v>0</v>
      </c>
      <c r="G4" s="49">
        <v>19</v>
      </c>
      <c r="H4" s="49">
        <v>3</v>
      </c>
      <c r="I4" s="49">
        <v>0</v>
      </c>
      <c r="J4" s="49">
        <v>0</v>
      </c>
      <c r="K4" s="25">
        <v>34</v>
      </c>
      <c r="L4" s="24">
        <v>140</v>
      </c>
      <c r="M4" s="17">
        <v>1</v>
      </c>
      <c r="N4" s="52">
        <f>IFERROR(VLOOKUP(C4,Numeros!A:C,3,0),584121633097)</f>
        <v>5219611812448</v>
      </c>
      <c r="O4" s="53">
        <f>SUM(M4,Q4,R4,S4)+35</f>
        <v>46</v>
      </c>
      <c r="P4" s="53" t="b">
        <f>COUNTIF('10-05-2026'!C:C, C4)&gt;0</f>
        <v>1</v>
      </c>
      <c r="Q4">
        <f>VLOOKUP(C4,'10-05-2026'!C:M,11,0)</f>
        <v>10</v>
      </c>
    </row>
    <row r="5" spans="1:20" x14ac:dyDescent="0.25">
      <c r="A5" s="11" t="s">
        <v>88</v>
      </c>
      <c r="B5" s="16" t="s">
        <v>47</v>
      </c>
      <c r="C5" s="48">
        <v>1769834648</v>
      </c>
      <c r="D5" s="48" t="s">
        <v>36</v>
      </c>
      <c r="E5" s="28">
        <v>30</v>
      </c>
      <c r="F5" s="49">
        <v>0</v>
      </c>
      <c r="G5" s="49">
        <v>30</v>
      </c>
      <c r="H5" s="49">
        <v>0</v>
      </c>
      <c r="I5" s="49">
        <v>0</v>
      </c>
      <c r="J5" s="49">
        <v>0</v>
      </c>
      <c r="K5" s="25">
        <v>30</v>
      </c>
      <c r="L5" s="24">
        <v>150</v>
      </c>
      <c r="M5" s="17">
        <v>5</v>
      </c>
      <c r="N5" s="52">
        <f>IFERROR(VLOOKUP(C5,Numeros!A:C,3,0),584121633097)</f>
        <v>50582599488</v>
      </c>
      <c r="O5" s="53">
        <f>SUM(M5,Q5,R5,S5)+35</f>
        <v>40</v>
      </c>
      <c r="P5" s="53" t="b">
        <f>COUNTIF('10-05-2026'!C:C, C5)&gt;0</f>
        <v>1</v>
      </c>
      <c r="Q5">
        <v>0</v>
      </c>
    </row>
    <row r="6" spans="1:20" x14ac:dyDescent="0.25">
      <c r="A6" s="11" t="s">
        <v>88</v>
      </c>
      <c r="B6" s="16" t="s">
        <v>47</v>
      </c>
      <c r="C6" s="48">
        <v>1727138266</v>
      </c>
      <c r="D6" s="48" t="s">
        <v>191</v>
      </c>
      <c r="E6" s="28">
        <v>4</v>
      </c>
      <c r="F6" s="49">
        <v>0</v>
      </c>
      <c r="G6" s="49">
        <v>1</v>
      </c>
      <c r="H6" s="49">
        <v>3</v>
      </c>
      <c r="I6" s="49">
        <v>0</v>
      </c>
      <c r="J6" s="49">
        <v>0</v>
      </c>
      <c r="K6" s="25">
        <v>16</v>
      </c>
      <c r="L6" s="24">
        <v>50</v>
      </c>
      <c r="M6" s="17">
        <v>19</v>
      </c>
      <c r="N6" s="52">
        <f>IFERROR(VLOOKUP(C6,Numeros!A:C,3,0),584121633097)</f>
        <v>584246118993</v>
      </c>
      <c r="O6" s="53">
        <f>SUM(M6,Q6,R6,S6)+35</f>
        <v>54</v>
      </c>
      <c r="P6" s="53" t="b">
        <f>COUNTIF('10-05-2026'!C:C, C6)&gt;0</f>
        <v>1</v>
      </c>
      <c r="Q6">
        <v>0</v>
      </c>
    </row>
    <row r="8" spans="1:20" x14ac:dyDescent="0.25">
      <c r="S8" t="s">
        <v>199</v>
      </c>
    </row>
  </sheetData>
  <autoFilter ref="A1:R1" xr:uid="{7DC06370-37F7-4020-86F7-635F32CD298A}">
    <sortState xmlns:xlrd2="http://schemas.microsoft.com/office/spreadsheetml/2017/richdata2" ref="A2:R16">
      <sortCondition ref="D1"/>
    </sortState>
  </autoFilter>
  <conditionalFormatting sqref="N1:N1048576">
    <cfRule type="containsText" dxfId="134" priority="205" operator="containsText" text="584121633097">
      <formula>NOT(ISERROR(SEARCH("584121633097",N1)))</formula>
    </cfRule>
  </conditionalFormatting>
  <conditionalFormatting sqref="D7:D1048576 D1">
    <cfRule type="duplicateValues" dxfId="133" priority="2462"/>
  </conditionalFormatting>
  <conditionalFormatting sqref="D7:D1048576">
    <cfRule type="duplicateValues" dxfId="132" priority="2465"/>
    <cfRule type="duplicateValues" dxfId="131" priority="2466"/>
    <cfRule type="duplicateValues" dxfId="130" priority="2467"/>
    <cfRule type="duplicateValues" dxfId="129" priority="2468"/>
    <cfRule type="duplicateValues" dxfId="128" priority="2469"/>
    <cfRule type="duplicateValues" dxfId="127" priority="2470"/>
  </conditionalFormatting>
  <conditionalFormatting sqref="B2:B6">
    <cfRule type="beginsWith" dxfId="126" priority="50" operator="beginsWith" text="Cumplio">
      <formula>LEFT(B2,LEN("Cumplio"))="Cumplio"</formula>
    </cfRule>
    <cfRule type="containsText" dxfId="125" priority="51" operator="containsText" text="No cumplio">
      <formula>NOT(ISERROR(SEARCH("No cumplio",B2)))</formula>
    </cfRule>
  </conditionalFormatting>
  <conditionalFormatting sqref="M2:M6">
    <cfRule type="cellIs" dxfId="124" priority="48" operator="between">
      <formula>1</formula>
      <formula>9999999</formula>
    </cfRule>
    <cfRule type="containsText" dxfId="123" priority="49" operator="containsText" text="No debe">
      <formula>NOT(ISERROR(SEARCH("No debe",M2)))</formula>
    </cfRule>
  </conditionalFormatting>
  <conditionalFormatting sqref="P1:P1048576">
    <cfRule type="containsText" dxfId="122" priority="31" operator="containsText" text="VERDADERO">
      <formula>NOT(ISERROR(SEARCH("VERDADERO",P1)))</formula>
    </cfRule>
  </conditionalFormatting>
  <conditionalFormatting sqref="C2:D6">
    <cfRule type="duplicateValues" dxfId="121" priority="4175"/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800" operator="containsText" id="{24BB780C-82D8-4F33-9294-DF26EC3A8ECE}">
            <xm:f>NOT(ISERROR(SEARCH(#REF!,P2)))</xm:f>
            <xm:f>#REF!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P2:P6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E3A6B-A9F7-4F12-8EB0-0EB5B7DD86C8}">
  <dimension ref="A1:C84"/>
  <sheetViews>
    <sheetView topLeftCell="A70" workbookViewId="0">
      <selection activeCell="A84" sqref="A84:B84"/>
    </sheetView>
  </sheetViews>
  <sheetFormatPr baseColWidth="10" defaultRowHeight="15" x14ac:dyDescent="0.25"/>
  <cols>
    <col min="1" max="1" width="11.28515625" customWidth="1"/>
    <col min="2" max="2" width="16.7109375" customWidth="1"/>
    <col min="3" max="3" width="17.5703125" customWidth="1"/>
  </cols>
  <sheetData>
    <row r="1" spans="1:3" x14ac:dyDescent="0.25">
      <c r="A1" t="s">
        <v>63</v>
      </c>
      <c r="B1" t="s">
        <v>0</v>
      </c>
      <c r="C1" t="s">
        <v>56</v>
      </c>
    </row>
    <row r="2" spans="1:3" x14ac:dyDescent="0.25">
      <c r="A2" s="9">
        <v>446013149</v>
      </c>
      <c r="B2" s="9" t="s">
        <v>68</v>
      </c>
      <c r="C2" s="9">
        <v>51980377504</v>
      </c>
    </row>
    <row r="3" spans="1:3" x14ac:dyDescent="0.25">
      <c r="A3" s="9">
        <v>346561690</v>
      </c>
      <c r="B3" s="9" t="s">
        <v>24</v>
      </c>
      <c r="C3" s="9">
        <v>5493417036998</v>
      </c>
    </row>
    <row r="4" spans="1:3" x14ac:dyDescent="0.25">
      <c r="A4" s="9">
        <v>365438142</v>
      </c>
      <c r="B4" s="9" t="s">
        <v>25</v>
      </c>
      <c r="C4" s="9">
        <v>5493417036998</v>
      </c>
    </row>
    <row r="5" spans="1:3" x14ac:dyDescent="0.25">
      <c r="A5" s="9">
        <v>315992503</v>
      </c>
      <c r="B5" s="9" t="s">
        <v>44</v>
      </c>
      <c r="C5" s="9">
        <v>50685195956</v>
      </c>
    </row>
    <row r="6" spans="1:3" x14ac:dyDescent="0.25">
      <c r="A6" s="9">
        <v>339024723</v>
      </c>
      <c r="B6" s="9" t="s">
        <v>58</v>
      </c>
      <c r="C6" s="9">
        <v>50685195956</v>
      </c>
    </row>
    <row r="7" spans="1:3" x14ac:dyDescent="0.25">
      <c r="A7" s="9">
        <v>355652066</v>
      </c>
      <c r="B7" s="9" t="s">
        <v>59</v>
      </c>
      <c r="C7" s="32">
        <v>50685195956</v>
      </c>
    </row>
    <row r="8" spans="1:3" x14ac:dyDescent="0.25">
      <c r="A8" s="9">
        <v>2024927090</v>
      </c>
      <c r="B8" s="9" t="s">
        <v>34</v>
      </c>
      <c r="C8" s="32">
        <v>584121633097</v>
      </c>
    </row>
    <row r="9" spans="1:3" x14ac:dyDescent="0.25">
      <c r="A9" s="9">
        <v>642356966</v>
      </c>
      <c r="B9" s="9" t="s">
        <v>19</v>
      </c>
      <c r="C9" s="9">
        <v>5215584183166</v>
      </c>
    </row>
    <row r="10" spans="1:3" x14ac:dyDescent="0.25">
      <c r="A10" s="9">
        <v>1107848567</v>
      </c>
      <c r="B10" s="9" t="s">
        <v>35</v>
      </c>
      <c r="C10" s="9">
        <v>5215584183166</v>
      </c>
    </row>
    <row r="11" spans="1:3" x14ac:dyDescent="0.25">
      <c r="A11" s="9">
        <v>940947273</v>
      </c>
      <c r="B11" s="9" t="s">
        <v>90</v>
      </c>
      <c r="C11" s="32">
        <v>556596113286</v>
      </c>
    </row>
    <row r="12" spans="1:3" x14ac:dyDescent="0.25">
      <c r="A12" s="9">
        <v>967393022</v>
      </c>
      <c r="B12" s="9" t="s">
        <v>92</v>
      </c>
      <c r="C12" s="32">
        <v>56940442393</v>
      </c>
    </row>
    <row r="13" spans="1:3" x14ac:dyDescent="0.25">
      <c r="A13" s="9">
        <v>1535794879</v>
      </c>
      <c r="B13" s="9" t="s">
        <v>75</v>
      </c>
      <c r="C13" s="32">
        <v>5215523547766</v>
      </c>
    </row>
    <row r="14" spans="1:3" x14ac:dyDescent="0.25">
      <c r="A14" s="9">
        <v>820686880</v>
      </c>
      <c r="B14" s="9" t="s">
        <v>69</v>
      </c>
      <c r="C14" s="32">
        <v>573013299286</v>
      </c>
    </row>
    <row r="15" spans="1:3" x14ac:dyDescent="0.25">
      <c r="A15" s="9">
        <v>677690297</v>
      </c>
      <c r="B15" s="9" t="s">
        <v>17</v>
      </c>
      <c r="C15" s="9">
        <v>5215538901631</v>
      </c>
    </row>
    <row r="16" spans="1:3" x14ac:dyDescent="0.25">
      <c r="A16" s="9">
        <v>1866719674</v>
      </c>
      <c r="B16" s="9" t="s">
        <v>76</v>
      </c>
      <c r="C16" s="32">
        <v>5215523547766</v>
      </c>
    </row>
    <row r="17" spans="1:3" x14ac:dyDescent="0.25">
      <c r="A17" s="9">
        <v>871943702</v>
      </c>
      <c r="B17" s="9" t="s">
        <v>31</v>
      </c>
      <c r="C17" s="32">
        <v>5492657545729</v>
      </c>
    </row>
    <row r="18" spans="1:3" x14ac:dyDescent="0.25">
      <c r="A18" s="9">
        <v>376376295</v>
      </c>
      <c r="B18" s="9" t="s">
        <v>60</v>
      </c>
      <c r="C18" s="32">
        <v>573013299286</v>
      </c>
    </row>
    <row r="19" spans="1:3" x14ac:dyDescent="0.25">
      <c r="A19" s="9">
        <v>1023770253</v>
      </c>
      <c r="B19" s="9" t="s">
        <v>18</v>
      </c>
      <c r="C19" s="9">
        <v>584242029084</v>
      </c>
    </row>
    <row r="20" spans="1:3" x14ac:dyDescent="0.25">
      <c r="A20" s="32">
        <v>1002780236</v>
      </c>
      <c r="B20" s="32" t="s">
        <v>77</v>
      </c>
      <c r="C20" s="32">
        <v>584149949898</v>
      </c>
    </row>
    <row r="21" spans="1:3" x14ac:dyDescent="0.25">
      <c r="A21" s="9">
        <v>830977422</v>
      </c>
      <c r="B21" s="9" t="s">
        <v>48</v>
      </c>
      <c r="C21" s="32">
        <v>573013299286</v>
      </c>
    </row>
    <row r="22" spans="1:3" x14ac:dyDescent="0.25">
      <c r="A22" s="32">
        <v>999874043</v>
      </c>
      <c r="B22" s="32" t="s">
        <v>79</v>
      </c>
      <c r="C22" s="32">
        <v>51900029964</v>
      </c>
    </row>
    <row r="23" spans="1:3" x14ac:dyDescent="0.25">
      <c r="A23" s="32">
        <v>316274033</v>
      </c>
      <c r="B23" s="32" t="s">
        <v>45</v>
      </c>
      <c r="C23" s="32">
        <v>50685195956</v>
      </c>
    </row>
    <row r="24" spans="1:3" x14ac:dyDescent="0.25">
      <c r="A24" s="32">
        <v>973732352</v>
      </c>
      <c r="B24" s="32" t="s">
        <v>65</v>
      </c>
      <c r="C24" s="32">
        <v>50488202829</v>
      </c>
    </row>
    <row r="25" spans="1:3" x14ac:dyDescent="0.25">
      <c r="A25" s="32">
        <v>804415402</v>
      </c>
      <c r="B25" s="32" t="s">
        <v>66</v>
      </c>
      <c r="C25" s="9">
        <v>584126549233</v>
      </c>
    </row>
    <row r="26" spans="1:3" x14ac:dyDescent="0.25">
      <c r="A26" s="32">
        <v>829353787</v>
      </c>
      <c r="B26" s="32" t="s">
        <v>33</v>
      </c>
      <c r="C26" s="9">
        <v>573219808959</v>
      </c>
    </row>
    <row r="27" spans="1:3" x14ac:dyDescent="0.25">
      <c r="A27" s="9">
        <v>884346374</v>
      </c>
      <c r="B27" s="9" t="s">
        <v>6</v>
      </c>
      <c r="C27" s="9">
        <v>5215538901631</v>
      </c>
    </row>
    <row r="28" spans="1:3" x14ac:dyDescent="0.25">
      <c r="A28" s="32">
        <v>1863898201</v>
      </c>
      <c r="B28" s="32" t="s">
        <v>70</v>
      </c>
      <c r="C28" s="9">
        <v>5215523547766</v>
      </c>
    </row>
    <row r="29" spans="1:3" x14ac:dyDescent="0.25">
      <c r="A29" s="9">
        <v>817780877</v>
      </c>
      <c r="B29" s="9" t="s">
        <v>81</v>
      </c>
      <c r="C29" s="32">
        <v>5215523547766</v>
      </c>
    </row>
    <row r="30" spans="1:3" x14ac:dyDescent="0.25">
      <c r="A30" s="32">
        <v>334624772</v>
      </c>
      <c r="B30" s="32" t="s">
        <v>91</v>
      </c>
      <c r="C30" s="32">
        <v>51951360765</v>
      </c>
    </row>
    <row r="31" spans="1:3" x14ac:dyDescent="0.25">
      <c r="A31" s="32">
        <v>1050145825</v>
      </c>
      <c r="B31" s="32" t="s">
        <v>49</v>
      </c>
      <c r="C31" s="32">
        <v>51940249141</v>
      </c>
    </row>
    <row r="32" spans="1:3" x14ac:dyDescent="0.25">
      <c r="A32" s="9">
        <v>1769834648</v>
      </c>
      <c r="B32" s="9" t="s">
        <v>36</v>
      </c>
      <c r="C32" s="32">
        <v>50582599488</v>
      </c>
    </row>
    <row r="33" spans="1:3" x14ac:dyDescent="0.25">
      <c r="A33" s="32">
        <v>927459756</v>
      </c>
      <c r="B33" s="32" t="s">
        <v>37</v>
      </c>
      <c r="C33" s="32">
        <v>50582599488</v>
      </c>
    </row>
    <row r="34" spans="1:3" x14ac:dyDescent="0.25">
      <c r="A34" s="32">
        <v>1467795273</v>
      </c>
      <c r="B34" s="32" t="s">
        <v>38</v>
      </c>
      <c r="C34" s="32">
        <v>584140687267</v>
      </c>
    </row>
    <row r="35" spans="1:3" x14ac:dyDescent="0.25">
      <c r="A35" s="32">
        <v>1637267113</v>
      </c>
      <c r="B35" s="32" t="s">
        <v>61</v>
      </c>
      <c r="C35" s="32">
        <v>51926920017</v>
      </c>
    </row>
    <row r="36" spans="1:3" x14ac:dyDescent="0.25">
      <c r="A36" s="9">
        <v>467556370</v>
      </c>
      <c r="B36" s="9" t="s">
        <v>32</v>
      </c>
      <c r="C36" s="32">
        <v>5219221099528</v>
      </c>
    </row>
    <row r="37" spans="1:3" x14ac:dyDescent="0.25">
      <c r="A37" s="32">
        <v>1806182451</v>
      </c>
      <c r="B37" s="32" t="s">
        <v>40</v>
      </c>
      <c r="C37" s="32">
        <v>584246118993</v>
      </c>
    </row>
    <row r="38" spans="1:3" x14ac:dyDescent="0.25">
      <c r="A38" s="9">
        <v>1229523616</v>
      </c>
      <c r="B38" s="9" t="s">
        <v>67</v>
      </c>
      <c r="C38" s="32">
        <v>5215572795581</v>
      </c>
    </row>
    <row r="39" spans="1:3" x14ac:dyDescent="0.25">
      <c r="A39" s="9">
        <v>1727138266</v>
      </c>
      <c r="B39" s="9" t="s">
        <v>41</v>
      </c>
      <c r="C39" s="32">
        <v>584246118993</v>
      </c>
    </row>
    <row r="40" spans="1:3" x14ac:dyDescent="0.25">
      <c r="A40" s="9">
        <v>358647445</v>
      </c>
      <c r="B40" s="9" t="s">
        <v>87</v>
      </c>
      <c r="C40" s="32">
        <v>5215523547766</v>
      </c>
    </row>
    <row r="41" spans="1:3" x14ac:dyDescent="0.25">
      <c r="A41" s="35">
        <v>778540928</v>
      </c>
      <c r="B41" s="35" t="s">
        <v>20</v>
      </c>
      <c r="C41" s="32">
        <v>56934018697</v>
      </c>
    </row>
    <row r="42" spans="1:3" x14ac:dyDescent="0.25">
      <c r="A42" s="35">
        <v>874666931</v>
      </c>
      <c r="B42" s="35" t="s">
        <v>43</v>
      </c>
      <c r="C42" s="32">
        <v>34615730725</v>
      </c>
    </row>
    <row r="43" spans="1:3" x14ac:dyDescent="0.25">
      <c r="A43" s="9">
        <v>2060348531</v>
      </c>
      <c r="B43" s="9" t="s">
        <v>64</v>
      </c>
      <c r="C43" s="39">
        <v>584121633097</v>
      </c>
    </row>
    <row r="44" spans="1:3" x14ac:dyDescent="0.25">
      <c r="A44" s="9">
        <v>1915163097</v>
      </c>
      <c r="B44" s="9" t="s">
        <v>78</v>
      </c>
      <c r="C44" s="39">
        <v>584121633097</v>
      </c>
    </row>
    <row r="45" spans="1:3" x14ac:dyDescent="0.25">
      <c r="A45" s="9">
        <v>2057192192</v>
      </c>
      <c r="B45" s="9" t="s">
        <v>46</v>
      </c>
      <c r="C45" s="39">
        <v>584121633097</v>
      </c>
    </row>
    <row r="46" spans="1:3" x14ac:dyDescent="0.25">
      <c r="A46" s="9">
        <v>723725687</v>
      </c>
      <c r="B46" s="9" t="s">
        <v>71</v>
      </c>
      <c r="C46" s="32">
        <v>34615730725</v>
      </c>
    </row>
    <row r="47" spans="1:3" x14ac:dyDescent="0.25">
      <c r="A47" s="9">
        <v>919665444</v>
      </c>
      <c r="B47" s="9" t="s">
        <v>85</v>
      </c>
      <c r="C47" s="39">
        <v>584121633097</v>
      </c>
    </row>
    <row r="48" spans="1:3" x14ac:dyDescent="0.25">
      <c r="A48" s="9">
        <v>916473485</v>
      </c>
      <c r="B48" s="9" t="s">
        <v>103</v>
      </c>
      <c r="C48" s="39">
        <v>17324893519</v>
      </c>
    </row>
    <row r="49" spans="1:3" x14ac:dyDescent="0.25">
      <c r="A49" s="9">
        <v>1371120004</v>
      </c>
      <c r="B49" s="9" t="s">
        <v>95</v>
      </c>
      <c r="C49" s="39">
        <v>5493417439352</v>
      </c>
    </row>
    <row r="50" spans="1:3" x14ac:dyDescent="0.25">
      <c r="A50" s="9">
        <v>600359996</v>
      </c>
      <c r="B50" s="9" t="s">
        <v>97</v>
      </c>
      <c r="C50" s="39">
        <v>59177417471</v>
      </c>
    </row>
    <row r="51" spans="1:3" x14ac:dyDescent="0.25">
      <c r="A51" s="9">
        <v>613063847</v>
      </c>
      <c r="B51" s="9" t="s">
        <v>101</v>
      </c>
      <c r="C51" s="40">
        <v>59893715248</v>
      </c>
    </row>
    <row r="52" spans="1:3" x14ac:dyDescent="0.25">
      <c r="A52" s="9">
        <v>469677437</v>
      </c>
      <c r="B52" s="9" t="s">
        <v>99</v>
      </c>
      <c r="C52" s="40">
        <v>59893715248</v>
      </c>
    </row>
    <row r="53" spans="1:3" x14ac:dyDescent="0.25">
      <c r="A53" s="9">
        <v>1917368618</v>
      </c>
      <c r="B53" s="9" t="s">
        <v>39</v>
      </c>
      <c r="C53" s="39">
        <v>584121633097</v>
      </c>
    </row>
    <row r="54" spans="1:3" x14ac:dyDescent="0.25">
      <c r="A54" s="9">
        <v>566390589</v>
      </c>
      <c r="B54" s="9" t="s">
        <v>102</v>
      </c>
      <c r="C54" s="40">
        <v>59893715248</v>
      </c>
    </row>
    <row r="55" spans="1:3" x14ac:dyDescent="0.25">
      <c r="A55" s="9">
        <v>1279036943</v>
      </c>
      <c r="B55" s="9" t="s">
        <v>111</v>
      </c>
      <c r="C55" s="39">
        <v>5493417439352</v>
      </c>
    </row>
    <row r="56" spans="1:3" x14ac:dyDescent="0.25">
      <c r="A56" s="9">
        <v>694677227</v>
      </c>
      <c r="B56" s="9" t="s">
        <v>105</v>
      </c>
      <c r="C56" s="39">
        <v>573156583586</v>
      </c>
    </row>
    <row r="57" spans="1:3" x14ac:dyDescent="0.25">
      <c r="A57" s="32">
        <v>1940642101</v>
      </c>
      <c r="B57" s="32" t="s">
        <v>106</v>
      </c>
      <c r="C57" s="40">
        <v>584121633097</v>
      </c>
    </row>
    <row r="58" spans="1:3" x14ac:dyDescent="0.25">
      <c r="A58" s="9">
        <v>1346964807</v>
      </c>
      <c r="B58" s="9" t="s">
        <v>131</v>
      </c>
      <c r="C58" s="40">
        <v>584129619123</v>
      </c>
    </row>
    <row r="59" spans="1:3" x14ac:dyDescent="0.25">
      <c r="A59" s="9">
        <v>1529804845</v>
      </c>
      <c r="B59" s="9" t="s">
        <v>132</v>
      </c>
      <c r="C59" s="40">
        <v>584129619123</v>
      </c>
    </row>
    <row r="60" spans="1:3" x14ac:dyDescent="0.25">
      <c r="A60" s="9">
        <v>605950874</v>
      </c>
      <c r="B60" s="9" t="s">
        <v>149</v>
      </c>
      <c r="C60" s="39">
        <v>5214773724690</v>
      </c>
    </row>
    <row r="61" spans="1:3" x14ac:dyDescent="0.25">
      <c r="A61" s="9">
        <v>1698596813</v>
      </c>
      <c r="B61" s="9" t="s">
        <v>130</v>
      </c>
      <c r="C61" s="39">
        <v>5212211427683</v>
      </c>
    </row>
    <row r="62" spans="1:3" x14ac:dyDescent="0.25">
      <c r="A62" s="9">
        <v>735092980</v>
      </c>
      <c r="B62" s="9" t="s">
        <v>120</v>
      </c>
      <c r="C62" s="39">
        <v>5212211427683</v>
      </c>
    </row>
    <row r="63" spans="1:3" x14ac:dyDescent="0.25">
      <c r="A63" s="9">
        <v>1036786251</v>
      </c>
      <c r="B63" s="9" t="s">
        <v>117</v>
      </c>
      <c r="C63" s="39">
        <v>56997784905</v>
      </c>
    </row>
    <row r="64" spans="1:3" x14ac:dyDescent="0.25">
      <c r="A64" s="9">
        <v>1041170254</v>
      </c>
      <c r="B64" s="9" t="s">
        <v>135</v>
      </c>
      <c r="C64" s="39">
        <v>5215525003448</v>
      </c>
    </row>
    <row r="65" spans="1:3" x14ac:dyDescent="0.25">
      <c r="A65" s="9">
        <v>526144427</v>
      </c>
      <c r="B65" s="9" t="s">
        <v>146</v>
      </c>
      <c r="C65" s="39">
        <v>5214495437706</v>
      </c>
    </row>
    <row r="66" spans="1:3" x14ac:dyDescent="0.25">
      <c r="A66" s="9">
        <v>1268693750</v>
      </c>
      <c r="B66" s="9" t="s">
        <v>157</v>
      </c>
      <c r="C66" s="39">
        <v>584244571581</v>
      </c>
    </row>
    <row r="67" spans="1:3" x14ac:dyDescent="0.25">
      <c r="A67" s="9">
        <v>1693317344</v>
      </c>
      <c r="B67" s="9" t="s">
        <v>155</v>
      </c>
      <c r="C67" s="39">
        <v>584244571581</v>
      </c>
    </row>
    <row r="68" spans="1:3" x14ac:dyDescent="0.25">
      <c r="A68" s="9">
        <v>1092680272</v>
      </c>
      <c r="B68" s="9" t="s">
        <v>72</v>
      </c>
      <c r="C68" s="40">
        <v>584162672027</v>
      </c>
    </row>
    <row r="69" spans="1:3" x14ac:dyDescent="0.25">
      <c r="A69" s="9">
        <v>807062911</v>
      </c>
      <c r="B69" s="9" t="s">
        <v>143</v>
      </c>
      <c r="C69" s="40">
        <v>51992833496</v>
      </c>
    </row>
    <row r="70" spans="1:3" x14ac:dyDescent="0.25">
      <c r="A70" s="9">
        <v>1040811175</v>
      </c>
      <c r="B70" s="9" t="s">
        <v>145</v>
      </c>
      <c r="C70" s="40">
        <v>5219611812448</v>
      </c>
    </row>
    <row r="71" spans="1:3" x14ac:dyDescent="0.25">
      <c r="A71" s="9">
        <v>683679140</v>
      </c>
      <c r="B71" s="9" t="s">
        <v>137</v>
      </c>
      <c r="C71" s="40">
        <v>549379967357</v>
      </c>
    </row>
    <row r="72" spans="1:3" x14ac:dyDescent="0.25">
      <c r="A72" s="32">
        <v>440323888</v>
      </c>
      <c r="B72" s="32" t="s">
        <v>139</v>
      </c>
      <c r="C72" s="40">
        <v>549379967357</v>
      </c>
    </row>
    <row r="73" spans="1:3" x14ac:dyDescent="0.25">
      <c r="A73" s="32">
        <v>392077692</v>
      </c>
      <c r="B73" s="32" t="s">
        <v>136</v>
      </c>
      <c r="C73" s="40">
        <v>549379967357</v>
      </c>
    </row>
    <row r="74" spans="1:3" x14ac:dyDescent="0.25">
      <c r="A74" s="32">
        <v>391188518</v>
      </c>
      <c r="B74" s="32" t="s">
        <v>147</v>
      </c>
      <c r="C74" s="40">
        <v>549379967357</v>
      </c>
    </row>
    <row r="75" spans="1:3" x14ac:dyDescent="0.25">
      <c r="A75" s="9">
        <v>1294894373</v>
      </c>
      <c r="B75" s="9" t="s">
        <v>163</v>
      </c>
      <c r="C75" s="40">
        <v>573003791461</v>
      </c>
    </row>
    <row r="76" spans="1:3" x14ac:dyDescent="0.25">
      <c r="A76" s="32">
        <v>989087967</v>
      </c>
      <c r="B76" s="32" t="s">
        <v>162</v>
      </c>
      <c r="C76" s="40">
        <v>573003791461</v>
      </c>
    </row>
    <row r="77" spans="1:3" x14ac:dyDescent="0.25">
      <c r="A77" s="9">
        <v>644038791</v>
      </c>
      <c r="B77" s="9" t="s">
        <v>151</v>
      </c>
      <c r="C77" s="40">
        <v>56994044275</v>
      </c>
    </row>
    <row r="78" spans="1:3" x14ac:dyDescent="0.25">
      <c r="A78" s="32">
        <v>597879167</v>
      </c>
      <c r="B78" s="32" t="s">
        <v>127</v>
      </c>
      <c r="C78" s="40">
        <v>549379967357</v>
      </c>
    </row>
    <row r="79" spans="1:3" x14ac:dyDescent="0.25">
      <c r="A79" s="9">
        <v>1268142112</v>
      </c>
      <c r="B79" s="9" t="s">
        <v>42</v>
      </c>
      <c r="C79" s="40">
        <v>56940442393</v>
      </c>
    </row>
    <row r="80" spans="1:3" x14ac:dyDescent="0.25">
      <c r="A80" s="9">
        <v>1040171147</v>
      </c>
      <c r="B80" s="9" t="s">
        <v>134</v>
      </c>
      <c r="C80" s="40">
        <v>56997784905</v>
      </c>
    </row>
    <row r="81" spans="1:3" x14ac:dyDescent="0.25">
      <c r="A81" s="9">
        <v>1279827382</v>
      </c>
      <c r="B81" s="9" t="s">
        <v>142</v>
      </c>
      <c r="C81" s="40">
        <v>5493795764487</v>
      </c>
    </row>
    <row r="82" spans="1:3" x14ac:dyDescent="0.25">
      <c r="A82" s="32">
        <v>1041187189</v>
      </c>
      <c r="B82" s="32" t="s">
        <v>159</v>
      </c>
      <c r="C82" s="40">
        <v>5493795764487</v>
      </c>
    </row>
    <row r="83" spans="1:3" x14ac:dyDescent="0.25">
      <c r="A83" s="9">
        <v>663429510</v>
      </c>
      <c r="B83" s="9" t="s">
        <v>138</v>
      </c>
      <c r="C83" s="40">
        <v>5214251085901</v>
      </c>
    </row>
    <row r="84" spans="1:3" x14ac:dyDescent="0.25">
      <c r="A84" s="48">
        <v>852051372</v>
      </c>
      <c r="B84" s="48" t="s">
        <v>152</v>
      </c>
      <c r="C84" s="40">
        <v>5216671187009</v>
      </c>
    </row>
  </sheetData>
  <conditionalFormatting sqref="A2">
    <cfRule type="duplicateValues" dxfId="119" priority="258"/>
  </conditionalFormatting>
  <conditionalFormatting sqref="A5 A7:A17 A19:A22 A24:A41">
    <cfRule type="beginsWith" dxfId="118" priority="164" operator="beginsWith" text="Cumplio">
      <formula>LEFT(A5,LEN("Cumplio"))="Cumplio"</formula>
    </cfRule>
    <cfRule type="containsText" dxfId="117" priority="165" operator="containsText" text="No cumplio">
      <formula>NOT(ISERROR(SEARCH("No cumplio",A5)))</formula>
    </cfRule>
  </conditionalFormatting>
  <conditionalFormatting sqref="A6 A2:A4">
    <cfRule type="duplicateValues" dxfId="116" priority="246"/>
  </conditionalFormatting>
  <conditionalFormatting sqref="A41:B41">
    <cfRule type="duplicateValues" dxfId="115" priority="102"/>
  </conditionalFormatting>
  <conditionalFormatting sqref="A42:B42">
    <cfRule type="duplicateValues" dxfId="114" priority="99"/>
  </conditionalFormatting>
  <conditionalFormatting sqref="B2">
    <cfRule type="duplicateValues" dxfId="113" priority="261"/>
  </conditionalFormatting>
  <conditionalFormatting sqref="B6 B2:B4">
    <cfRule type="duplicateValues" dxfId="112" priority="248"/>
  </conditionalFormatting>
  <conditionalFormatting sqref="B7">
    <cfRule type="duplicateValues" dxfId="111" priority="161"/>
  </conditionalFormatting>
  <conditionalFormatting sqref="B12">
    <cfRule type="duplicateValues" dxfId="110" priority="155"/>
  </conditionalFormatting>
  <conditionalFormatting sqref="B13 B16">
    <cfRule type="duplicateValues" dxfId="109" priority="174"/>
  </conditionalFormatting>
  <conditionalFormatting sqref="B14">
    <cfRule type="duplicateValues" dxfId="108" priority="152"/>
  </conditionalFormatting>
  <conditionalFormatting sqref="B17">
    <cfRule type="duplicateValues" dxfId="107" priority="149"/>
  </conditionalFormatting>
  <conditionalFormatting sqref="B18:B19">
    <cfRule type="duplicateValues" dxfId="106" priority="181"/>
  </conditionalFormatting>
  <conditionalFormatting sqref="B20">
    <cfRule type="duplicateValues" dxfId="105" priority="146"/>
  </conditionalFormatting>
  <conditionalFormatting sqref="B35">
    <cfRule type="duplicateValues" dxfId="104" priority="117"/>
  </conditionalFormatting>
  <conditionalFormatting sqref="B36">
    <cfRule type="duplicateValues" dxfId="103" priority="114"/>
  </conditionalFormatting>
  <conditionalFormatting sqref="B37">
    <cfRule type="duplicateValues" dxfId="102" priority="111"/>
  </conditionalFormatting>
  <conditionalFormatting sqref="B38">
    <cfRule type="duplicateValues" dxfId="101" priority="108"/>
  </conditionalFormatting>
  <conditionalFormatting sqref="B39">
    <cfRule type="duplicateValues" dxfId="100" priority="105"/>
  </conditionalFormatting>
  <conditionalFormatting sqref="C2">
    <cfRule type="duplicateValues" dxfId="99" priority="265"/>
  </conditionalFormatting>
  <conditionalFormatting sqref="A43">
    <cfRule type="beginsWith" dxfId="98" priority="96" operator="beginsWith" text="Cumplio">
      <formula>LEFT(A43,LEN("Cumplio"))="Cumplio"</formula>
    </cfRule>
  </conditionalFormatting>
  <conditionalFormatting sqref="A43:B43">
    <cfRule type="duplicateValues" dxfId="97" priority="97"/>
  </conditionalFormatting>
  <conditionalFormatting sqref="A44">
    <cfRule type="beginsWith" dxfId="96" priority="93" operator="beginsWith" text="Cumplio">
      <formula>LEFT(A44,LEN("Cumplio"))="Cumplio"</formula>
    </cfRule>
  </conditionalFormatting>
  <conditionalFormatting sqref="A44:B44">
    <cfRule type="duplicateValues" dxfId="95" priority="94"/>
  </conditionalFormatting>
  <conditionalFormatting sqref="A45">
    <cfRule type="beginsWith" dxfId="94" priority="90" operator="beginsWith" text="Cumplio">
      <formula>LEFT(A45,LEN("Cumplio"))="Cumplio"</formula>
    </cfRule>
  </conditionalFormatting>
  <conditionalFormatting sqref="A45:B45">
    <cfRule type="duplicateValues" dxfId="93" priority="91"/>
  </conditionalFormatting>
  <conditionalFormatting sqref="A46">
    <cfRule type="beginsWith" dxfId="92" priority="87" operator="beginsWith" text="Cumplio">
      <formula>LEFT(A46,LEN("Cumplio"))="Cumplio"</formula>
    </cfRule>
  </conditionalFormatting>
  <conditionalFormatting sqref="A46:B46">
    <cfRule type="duplicateValues" dxfId="91" priority="88"/>
  </conditionalFormatting>
  <conditionalFormatting sqref="A47">
    <cfRule type="beginsWith" dxfId="90" priority="84" operator="beginsWith" text="Cumplio">
      <formula>LEFT(A47,LEN("Cumplio"))="Cumplio"</formula>
    </cfRule>
  </conditionalFormatting>
  <conditionalFormatting sqref="A47:B47">
    <cfRule type="duplicateValues" dxfId="89" priority="85"/>
  </conditionalFormatting>
  <conditionalFormatting sqref="A48">
    <cfRule type="beginsWith" dxfId="88" priority="81" operator="beginsWith" text="Cumplio">
      <formula>LEFT(A48,LEN("Cumplio"))="Cumplio"</formula>
    </cfRule>
  </conditionalFormatting>
  <conditionalFormatting sqref="A48:B48">
    <cfRule type="duplicateValues" dxfId="87" priority="82"/>
  </conditionalFormatting>
  <conditionalFormatting sqref="A49">
    <cfRule type="beginsWith" dxfId="86" priority="78" operator="beginsWith" text="Cumplio">
      <formula>LEFT(A49,LEN("Cumplio"))="Cumplio"</formula>
    </cfRule>
  </conditionalFormatting>
  <conditionalFormatting sqref="A49:B49">
    <cfRule type="duplicateValues" dxfId="85" priority="79"/>
  </conditionalFormatting>
  <conditionalFormatting sqref="A50">
    <cfRule type="beginsWith" dxfId="84" priority="75" operator="beginsWith" text="Cumplio">
      <formula>LEFT(A50,LEN("Cumplio"))="Cumplio"</formula>
    </cfRule>
  </conditionalFormatting>
  <conditionalFormatting sqref="A50:B50">
    <cfRule type="duplicateValues" dxfId="83" priority="76"/>
  </conditionalFormatting>
  <conditionalFormatting sqref="A51">
    <cfRule type="beginsWith" dxfId="82" priority="69" operator="beginsWith" text="Cumplio">
      <formula>LEFT(A51,LEN("Cumplio"))="Cumplio"</formula>
    </cfRule>
  </conditionalFormatting>
  <conditionalFormatting sqref="A51:B51">
    <cfRule type="duplicateValues" dxfId="81" priority="70"/>
  </conditionalFormatting>
  <conditionalFormatting sqref="A52">
    <cfRule type="beginsWith" dxfId="80" priority="66" operator="beginsWith" text="Cumplio">
      <formula>LEFT(A52,LEN("Cumplio"))="Cumplio"</formula>
    </cfRule>
  </conditionalFormatting>
  <conditionalFormatting sqref="A52:B52">
    <cfRule type="duplicateValues" dxfId="79" priority="67"/>
  </conditionalFormatting>
  <conditionalFormatting sqref="A53">
    <cfRule type="beginsWith" dxfId="78" priority="63" operator="beginsWith" text="Cumplio">
      <formula>LEFT(A53,LEN("Cumplio"))="Cumplio"</formula>
    </cfRule>
  </conditionalFormatting>
  <conditionalFormatting sqref="A53:B53">
    <cfRule type="duplicateValues" dxfId="77" priority="64"/>
  </conditionalFormatting>
  <conditionalFormatting sqref="A54:B54">
    <cfRule type="duplicateValues" dxfId="76" priority="62"/>
  </conditionalFormatting>
  <conditionalFormatting sqref="A55:B55">
    <cfRule type="duplicateValues" dxfId="75" priority="61"/>
  </conditionalFormatting>
  <conditionalFormatting sqref="A56">
    <cfRule type="beginsWith" dxfId="74" priority="58" operator="beginsWith" text="Cumplio">
      <formula>LEFT(A56,LEN("Cumplio"))="Cumplio"</formula>
    </cfRule>
  </conditionalFormatting>
  <conditionalFormatting sqref="A56:B56">
    <cfRule type="duplicateValues" dxfId="73" priority="59"/>
  </conditionalFormatting>
  <conditionalFormatting sqref="A57">
    <cfRule type="beginsWith" dxfId="72" priority="54" operator="beginsWith" text="Cumplio">
      <formula>LEFT(A57,LEN("Cumplio"))="Cumplio"</formula>
    </cfRule>
  </conditionalFormatting>
  <conditionalFormatting sqref="A57:B57">
    <cfRule type="duplicateValues" dxfId="71" priority="55"/>
  </conditionalFormatting>
  <conditionalFormatting sqref="C2:C84">
    <cfRule type="duplicateValues" dxfId="70" priority="2423"/>
  </conditionalFormatting>
  <conditionalFormatting sqref="A58:A59">
    <cfRule type="beginsWith" dxfId="69" priority="51" operator="beginsWith" text="Cumplio">
      <formula>LEFT(A58,LEN("Cumplio"))="Cumplio"</formula>
    </cfRule>
    <cfRule type="containsText" dxfId="68" priority="52" operator="containsText" text="No cumplio">
      <formula>NOT(ISERROR(SEARCH("No cumplio",A58)))</formula>
    </cfRule>
  </conditionalFormatting>
  <conditionalFormatting sqref="A58:B59">
    <cfRule type="duplicateValues" dxfId="67" priority="53"/>
  </conditionalFormatting>
  <conditionalFormatting sqref="A60:B60">
    <cfRule type="duplicateValues" dxfId="66" priority="50"/>
  </conditionalFormatting>
  <conditionalFormatting sqref="A61:A62">
    <cfRule type="beginsWith" dxfId="65" priority="47" operator="beginsWith" text="Cumplio">
      <formula>LEFT(A61,LEN("Cumplio"))="Cumplio"</formula>
    </cfRule>
  </conditionalFormatting>
  <conditionalFormatting sqref="A61:B62">
    <cfRule type="duplicateValues" dxfId="64" priority="48"/>
  </conditionalFormatting>
  <conditionalFormatting sqref="A63">
    <cfRule type="beginsWith" dxfId="63" priority="44" operator="beginsWith" text="Cumplio">
      <formula>LEFT(A63,LEN("Cumplio"))="Cumplio"</formula>
    </cfRule>
  </conditionalFormatting>
  <conditionalFormatting sqref="A63:B63">
    <cfRule type="duplicateValues" dxfId="62" priority="45"/>
  </conditionalFormatting>
  <conditionalFormatting sqref="A64">
    <cfRule type="beginsWith" dxfId="61" priority="41" operator="beginsWith" text="Cumplio">
      <formula>LEFT(A64,LEN("Cumplio"))="Cumplio"</formula>
    </cfRule>
    <cfRule type="containsText" dxfId="60" priority="42" operator="containsText" text="No cumplio">
      <formula>NOT(ISERROR(SEARCH("No cumplio",A64)))</formula>
    </cfRule>
  </conditionalFormatting>
  <conditionalFormatting sqref="A64:B64">
    <cfRule type="duplicateValues" dxfId="59" priority="43"/>
  </conditionalFormatting>
  <conditionalFormatting sqref="A65:B65">
    <cfRule type="duplicateValues" dxfId="58" priority="40"/>
  </conditionalFormatting>
  <conditionalFormatting sqref="A66:B66">
    <cfRule type="duplicateValues" dxfId="57" priority="39"/>
  </conditionalFormatting>
  <conditionalFormatting sqref="A67">
    <cfRule type="beginsWith" dxfId="56" priority="36" operator="beginsWith" text="Cumplio">
      <formula>LEFT(A67,LEN("Cumplio"))="Cumplio"</formula>
    </cfRule>
    <cfRule type="containsText" dxfId="55" priority="37" operator="containsText" text="No cumplio">
      <formula>NOT(ISERROR(SEARCH("No cumplio",A67)))</formula>
    </cfRule>
  </conditionalFormatting>
  <conditionalFormatting sqref="A67:B67">
    <cfRule type="duplicateValues" dxfId="54" priority="38"/>
  </conditionalFormatting>
  <conditionalFormatting sqref="A68">
    <cfRule type="beginsWith" dxfId="53" priority="33" operator="beginsWith" text="Cumplio">
      <formula>LEFT(A68,LEN("Cumplio"))="Cumplio"</formula>
    </cfRule>
    <cfRule type="containsText" dxfId="52" priority="34" operator="containsText" text="No cumplio">
      <formula>NOT(ISERROR(SEARCH("No cumplio",A68)))</formula>
    </cfRule>
  </conditionalFormatting>
  <conditionalFormatting sqref="A68:B68">
    <cfRule type="duplicateValues" dxfId="51" priority="35"/>
  </conditionalFormatting>
  <conditionalFormatting sqref="A69:B69">
    <cfRule type="duplicateValues" dxfId="50" priority="32"/>
  </conditionalFormatting>
  <conditionalFormatting sqref="A70:B70">
    <cfRule type="duplicateValues" dxfId="49" priority="31"/>
  </conditionalFormatting>
  <conditionalFormatting sqref="A71">
    <cfRule type="beginsWith" dxfId="48" priority="28" operator="beginsWith" text="Cumplio">
      <formula>LEFT(A71,LEN("Cumplio"))="Cumplio"</formula>
    </cfRule>
    <cfRule type="containsText" dxfId="47" priority="29" operator="containsText" text="No cumplio">
      <formula>NOT(ISERROR(SEARCH("No cumplio",A71)))</formula>
    </cfRule>
  </conditionalFormatting>
  <conditionalFormatting sqref="A71:B71">
    <cfRule type="duplicateValues" dxfId="46" priority="30"/>
  </conditionalFormatting>
  <conditionalFormatting sqref="A72">
    <cfRule type="beginsWith" dxfId="45" priority="25" operator="beginsWith" text="Cumplio">
      <formula>LEFT(A72,LEN("Cumplio"))="Cumplio"</formula>
    </cfRule>
    <cfRule type="containsText" dxfId="44" priority="26" operator="containsText" text="No cumplio">
      <formula>NOT(ISERROR(SEARCH("No cumplio",A72)))</formula>
    </cfRule>
  </conditionalFormatting>
  <conditionalFormatting sqref="A72:B72">
    <cfRule type="duplicateValues" dxfId="43" priority="27"/>
  </conditionalFormatting>
  <conditionalFormatting sqref="A73">
    <cfRule type="beginsWith" dxfId="42" priority="22" operator="beginsWith" text="Cumplio">
      <formula>LEFT(A73,LEN("Cumplio"))="Cumplio"</formula>
    </cfRule>
    <cfRule type="containsText" dxfId="41" priority="23" operator="containsText" text="No cumplio">
      <formula>NOT(ISERROR(SEARCH("No cumplio",A73)))</formula>
    </cfRule>
  </conditionalFormatting>
  <conditionalFormatting sqref="A73:B73">
    <cfRule type="duplicateValues" dxfId="40" priority="24"/>
  </conditionalFormatting>
  <conditionalFormatting sqref="A74:B74">
    <cfRule type="duplicateValues" dxfId="39" priority="21"/>
  </conditionalFormatting>
  <conditionalFormatting sqref="A75:B75">
    <cfRule type="duplicateValues" dxfId="38" priority="20"/>
  </conditionalFormatting>
  <conditionalFormatting sqref="A76:B76">
    <cfRule type="duplicateValues" dxfId="37" priority="19"/>
  </conditionalFormatting>
  <conditionalFormatting sqref="A77">
    <cfRule type="beginsWith" dxfId="36" priority="16" operator="beginsWith" text="Cumplio">
      <formula>LEFT(A77,LEN("Cumplio"))="Cumplio"</formula>
    </cfRule>
    <cfRule type="containsText" dxfId="35" priority="17" operator="containsText" text="No cumplio">
      <formula>NOT(ISERROR(SEARCH("No cumplio",A77)))</formula>
    </cfRule>
  </conditionalFormatting>
  <conditionalFormatting sqref="A77:B77">
    <cfRule type="duplicateValues" dxfId="34" priority="18"/>
  </conditionalFormatting>
  <conditionalFormatting sqref="A78">
    <cfRule type="beginsWith" dxfId="33" priority="13" operator="beginsWith" text="Cumplio">
      <formula>LEFT(A78,LEN("Cumplio"))="Cumplio"</formula>
    </cfRule>
    <cfRule type="containsText" dxfId="32" priority="14" operator="containsText" text="No cumplio">
      <formula>NOT(ISERROR(SEARCH("No cumplio",A78)))</formula>
    </cfRule>
  </conditionalFormatting>
  <conditionalFormatting sqref="A78:B78">
    <cfRule type="duplicateValues" dxfId="31" priority="15"/>
  </conditionalFormatting>
  <conditionalFormatting sqref="A79">
    <cfRule type="beginsWith" dxfId="30" priority="10" operator="beginsWith" text="Cumplio">
      <formula>LEFT(A79,LEN("Cumplio"))="Cumplio"</formula>
    </cfRule>
    <cfRule type="containsText" dxfId="29" priority="11" operator="containsText" text="No cumplio">
      <formula>NOT(ISERROR(SEARCH("No cumplio",A79)))</formula>
    </cfRule>
  </conditionalFormatting>
  <conditionalFormatting sqref="A79:B79">
    <cfRule type="duplicateValues" dxfId="28" priority="12"/>
  </conditionalFormatting>
  <conditionalFormatting sqref="A80">
    <cfRule type="beginsWith" dxfId="27" priority="7" operator="beginsWith" text="Cumplio">
      <formula>LEFT(A80,LEN("Cumplio"))="Cumplio"</formula>
    </cfRule>
    <cfRule type="containsText" dxfId="26" priority="8" operator="containsText" text="No cumplio">
      <formula>NOT(ISERROR(SEARCH("No cumplio",A80)))</formula>
    </cfRule>
  </conditionalFormatting>
  <conditionalFormatting sqref="A80:B80">
    <cfRule type="duplicateValues" dxfId="25" priority="9"/>
  </conditionalFormatting>
  <conditionalFormatting sqref="A81:B81">
    <cfRule type="duplicateValues" dxfId="24" priority="6"/>
  </conditionalFormatting>
  <conditionalFormatting sqref="A82:B82">
    <cfRule type="duplicateValues" dxfId="23" priority="5"/>
  </conditionalFormatting>
  <conditionalFormatting sqref="A83">
    <cfRule type="beginsWith" dxfId="22" priority="2" operator="beginsWith" text="Cumplio">
      <formula>LEFT(A83,LEN("Cumplio"))="Cumplio"</formula>
    </cfRule>
    <cfRule type="containsText" dxfId="21" priority="3" operator="containsText" text="No cumplio">
      <formula>NOT(ISERROR(SEARCH("No cumplio",A83)))</formula>
    </cfRule>
  </conditionalFormatting>
  <conditionalFormatting sqref="A83:B83">
    <cfRule type="duplicateValues" dxfId="20" priority="4"/>
  </conditionalFormatting>
  <conditionalFormatting sqref="A84:B84">
    <cfRule type="duplicateValues" dxfId="19" priority="1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F3D2D-0C39-4C56-8524-EB1FDBF5B9F8}">
  <dimension ref="A1:F101"/>
  <sheetViews>
    <sheetView workbookViewId="0">
      <selection activeCell="F2" sqref="F2"/>
    </sheetView>
  </sheetViews>
  <sheetFormatPr baseColWidth="10" defaultRowHeight="15" x14ac:dyDescent="0.25"/>
  <cols>
    <col min="1" max="1" width="15" style="42" bestFit="1" customWidth="1"/>
    <col min="2" max="2" width="23.28515625" style="43" bestFit="1" customWidth="1"/>
    <col min="3" max="3" width="19.5703125" style="43" bestFit="1" customWidth="1"/>
    <col min="4" max="4" width="9.42578125" style="43" bestFit="1" customWidth="1"/>
    <col min="5" max="5" width="1.7109375" customWidth="1"/>
    <col min="6" max="6" width="22.28515625" bestFit="1" customWidth="1"/>
  </cols>
  <sheetData>
    <row r="1" spans="1:6" x14ac:dyDescent="0.25">
      <c r="A1" s="44" t="s">
        <v>0</v>
      </c>
      <c r="B1" s="44" t="s">
        <v>107</v>
      </c>
      <c r="C1" s="44" t="s">
        <v>108</v>
      </c>
      <c r="D1" s="44" t="s">
        <v>15</v>
      </c>
      <c r="F1" s="50" t="s">
        <v>14</v>
      </c>
    </row>
    <row r="2" spans="1:6" x14ac:dyDescent="0.25">
      <c r="A2" s="46" t="s">
        <v>118</v>
      </c>
      <c r="B2" s="47">
        <v>17</v>
      </c>
      <c r="C2" s="47">
        <v>17</v>
      </c>
      <c r="D2" s="47">
        <v>6610</v>
      </c>
      <c r="F2" s="51" t="s">
        <v>184</v>
      </c>
    </row>
    <row r="3" spans="1:6" x14ac:dyDescent="0.25">
      <c r="A3" s="46" t="s">
        <v>114</v>
      </c>
      <c r="B3" s="47">
        <v>17</v>
      </c>
      <c r="C3" s="47">
        <v>17</v>
      </c>
      <c r="D3" s="47">
        <v>6122</v>
      </c>
    </row>
    <row r="4" spans="1:6" x14ac:dyDescent="0.25">
      <c r="A4" s="46" t="s">
        <v>123</v>
      </c>
      <c r="B4" s="47">
        <v>17</v>
      </c>
      <c r="C4" s="47">
        <v>17</v>
      </c>
      <c r="D4" s="47">
        <v>5626</v>
      </c>
    </row>
    <row r="5" spans="1:6" x14ac:dyDescent="0.25">
      <c r="A5" s="46" t="s">
        <v>133</v>
      </c>
      <c r="B5" s="47">
        <v>17</v>
      </c>
      <c r="C5" s="47">
        <v>17</v>
      </c>
      <c r="D5" s="47">
        <v>5560</v>
      </c>
    </row>
    <row r="6" spans="1:6" x14ac:dyDescent="0.25">
      <c r="A6" s="46" t="s">
        <v>89</v>
      </c>
      <c r="B6" s="47">
        <v>17</v>
      </c>
      <c r="C6" s="47">
        <v>17</v>
      </c>
      <c r="D6" s="47">
        <v>5274</v>
      </c>
    </row>
    <row r="7" spans="1:6" x14ac:dyDescent="0.25">
      <c r="A7" s="46" t="s">
        <v>161</v>
      </c>
      <c r="B7" s="47">
        <v>17</v>
      </c>
      <c r="C7" s="47">
        <v>17</v>
      </c>
      <c r="D7" s="47">
        <v>5206</v>
      </c>
    </row>
    <row r="8" spans="1:6" x14ac:dyDescent="0.25">
      <c r="A8" s="46" t="s">
        <v>130</v>
      </c>
      <c r="B8" s="47">
        <v>17</v>
      </c>
      <c r="C8" s="47">
        <v>17</v>
      </c>
      <c r="D8" s="47">
        <v>4972</v>
      </c>
    </row>
    <row r="9" spans="1:6" x14ac:dyDescent="0.25">
      <c r="A9" s="46" t="s">
        <v>150</v>
      </c>
      <c r="B9" s="47">
        <v>17</v>
      </c>
      <c r="C9" s="47">
        <v>17</v>
      </c>
      <c r="D9" s="47">
        <v>4971</v>
      </c>
    </row>
    <row r="10" spans="1:6" x14ac:dyDescent="0.25">
      <c r="A10" s="46" t="s">
        <v>100</v>
      </c>
      <c r="B10" s="47">
        <v>16</v>
      </c>
      <c r="C10" s="47">
        <v>16</v>
      </c>
      <c r="D10" s="47">
        <v>4962</v>
      </c>
    </row>
    <row r="11" spans="1:6" x14ac:dyDescent="0.25">
      <c r="A11" s="46" t="s">
        <v>104</v>
      </c>
      <c r="B11" s="47">
        <v>17</v>
      </c>
      <c r="C11" s="47">
        <v>17</v>
      </c>
      <c r="D11" s="47">
        <v>4796</v>
      </c>
    </row>
    <row r="12" spans="1:6" x14ac:dyDescent="0.25">
      <c r="A12" s="46" t="s">
        <v>64</v>
      </c>
      <c r="B12" s="47">
        <v>16</v>
      </c>
      <c r="C12" s="47">
        <v>17</v>
      </c>
      <c r="D12" s="47">
        <v>4722</v>
      </c>
    </row>
    <row r="13" spans="1:6" x14ac:dyDescent="0.25">
      <c r="A13" s="46" t="s">
        <v>158</v>
      </c>
      <c r="B13" s="47">
        <v>17</v>
      </c>
      <c r="C13" s="47">
        <v>17</v>
      </c>
      <c r="D13" s="47">
        <v>4668</v>
      </c>
    </row>
    <row r="14" spans="1:6" x14ac:dyDescent="0.25">
      <c r="A14" s="46" t="s">
        <v>46</v>
      </c>
      <c r="B14" s="47">
        <v>16</v>
      </c>
      <c r="C14" s="47">
        <v>16</v>
      </c>
      <c r="D14" s="47">
        <v>4605</v>
      </c>
    </row>
    <row r="15" spans="1:6" x14ac:dyDescent="0.25">
      <c r="A15" s="46" t="s">
        <v>140</v>
      </c>
      <c r="B15" s="47">
        <v>16</v>
      </c>
      <c r="C15" s="47">
        <v>17</v>
      </c>
      <c r="D15" s="47">
        <v>4584</v>
      </c>
    </row>
    <row r="16" spans="1:6" x14ac:dyDescent="0.25">
      <c r="A16" s="46" t="s">
        <v>26</v>
      </c>
      <c r="B16" s="47">
        <v>17</v>
      </c>
      <c r="C16" s="47">
        <v>17</v>
      </c>
      <c r="D16" s="47">
        <v>4573</v>
      </c>
    </row>
    <row r="17" spans="1:4" x14ac:dyDescent="0.25">
      <c r="A17" s="46" t="s">
        <v>65</v>
      </c>
      <c r="B17" s="47">
        <v>17</v>
      </c>
      <c r="C17" s="47">
        <v>17</v>
      </c>
      <c r="D17" s="47">
        <v>4565</v>
      </c>
    </row>
    <row r="18" spans="1:4" x14ac:dyDescent="0.25">
      <c r="A18" s="46" t="s">
        <v>78</v>
      </c>
      <c r="B18" s="47">
        <v>17</v>
      </c>
      <c r="C18" s="47">
        <v>17</v>
      </c>
      <c r="D18" s="47">
        <v>4500</v>
      </c>
    </row>
    <row r="19" spans="1:4" x14ac:dyDescent="0.25">
      <c r="A19" s="46" t="s">
        <v>122</v>
      </c>
      <c r="B19" s="47">
        <v>17</v>
      </c>
      <c r="C19" s="47">
        <v>17</v>
      </c>
      <c r="D19" s="47">
        <v>4404</v>
      </c>
    </row>
    <row r="20" spans="1:4" x14ac:dyDescent="0.25">
      <c r="A20" s="46" t="s">
        <v>166</v>
      </c>
      <c r="B20" s="47">
        <v>17</v>
      </c>
      <c r="C20" s="47">
        <v>17</v>
      </c>
      <c r="D20" s="47">
        <v>4356</v>
      </c>
    </row>
    <row r="21" spans="1:4" x14ac:dyDescent="0.25">
      <c r="A21" s="46" t="s">
        <v>71</v>
      </c>
      <c r="B21" s="47">
        <v>16</v>
      </c>
      <c r="C21" s="47">
        <v>17</v>
      </c>
      <c r="D21" s="47">
        <v>4350</v>
      </c>
    </row>
    <row r="22" spans="1:4" x14ac:dyDescent="0.25">
      <c r="A22" s="46" t="s">
        <v>126</v>
      </c>
      <c r="B22" s="47">
        <v>17</v>
      </c>
      <c r="C22" s="47">
        <v>17</v>
      </c>
      <c r="D22" s="47">
        <v>4349</v>
      </c>
    </row>
    <row r="23" spans="1:4" x14ac:dyDescent="0.25">
      <c r="A23" s="46" t="s">
        <v>149</v>
      </c>
      <c r="B23" s="47">
        <v>16</v>
      </c>
      <c r="C23" s="47">
        <v>17</v>
      </c>
      <c r="D23" s="47">
        <v>4278</v>
      </c>
    </row>
    <row r="24" spans="1:4" x14ac:dyDescent="0.25">
      <c r="A24" s="46" t="s">
        <v>121</v>
      </c>
      <c r="B24" s="47">
        <v>17</v>
      </c>
      <c r="C24" s="47">
        <v>17</v>
      </c>
      <c r="D24" s="47">
        <v>4267</v>
      </c>
    </row>
    <row r="25" spans="1:4" x14ac:dyDescent="0.25">
      <c r="A25" s="46" t="s">
        <v>125</v>
      </c>
      <c r="B25" s="47">
        <v>15</v>
      </c>
      <c r="C25" s="47">
        <v>17</v>
      </c>
      <c r="D25" s="47">
        <v>4260</v>
      </c>
    </row>
    <row r="26" spans="1:4" x14ac:dyDescent="0.25">
      <c r="A26" s="46" t="s">
        <v>152</v>
      </c>
      <c r="B26" s="47">
        <v>16</v>
      </c>
      <c r="C26" s="47">
        <v>17</v>
      </c>
      <c r="D26" s="47">
        <v>4249</v>
      </c>
    </row>
    <row r="27" spans="1:4" x14ac:dyDescent="0.25">
      <c r="A27" s="46" t="s">
        <v>115</v>
      </c>
      <c r="B27" s="47">
        <v>17</v>
      </c>
      <c r="C27" s="47">
        <v>17</v>
      </c>
      <c r="D27" s="47">
        <v>4242</v>
      </c>
    </row>
    <row r="28" spans="1:4" x14ac:dyDescent="0.25">
      <c r="A28" s="46" t="s">
        <v>171</v>
      </c>
      <c r="B28" s="47">
        <v>16</v>
      </c>
      <c r="C28" s="47">
        <v>17</v>
      </c>
      <c r="D28" s="47">
        <v>4212</v>
      </c>
    </row>
    <row r="29" spans="1:4" x14ac:dyDescent="0.25">
      <c r="A29" s="46" t="s">
        <v>30</v>
      </c>
      <c r="B29" s="47">
        <v>17</v>
      </c>
      <c r="C29" s="47">
        <v>17</v>
      </c>
      <c r="D29" s="47">
        <v>4175</v>
      </c>
    </row>
    <row r="30" spans="1:4" x14ac:dyDescent="0.25">
      <c r="A30" s="46" t="s">
        <v>128</v>
      </c>
      <c r="B30" s="47">
        <v>17</v>
      </c>
      <c r="C30" s="47">
        <v>17</v>
      </c>
      <c r="D30" s="47">
        <v>4170</v>
      </c>
    </row>
    <row r="31" spans="1:4" x14ac:dyDescent="0.25">
      <c r="A31" s="46" t="s">
        <v>25</v>
      </c>
      <c r="B31" s="47">
        <v>17</v>
      </c>
      <c r="C31" s="47">
        <v>17</v>
      </c>
      <c r="D31" s="47">
        <v>4159</v>
      </c>
    </row>
    <row r="32" spans="1:4" x14ac:dyDescent="0.25">
      <c r="A32" s="46" t="s">
        <v>36</v>
      </c>
      <c r="B32" s="47">
        <v>16</v>
      </c>
      <c r="C32" s="47">
        <v>17</v>
      </c>
      <c r="D32" s="47">
        <v>4159</v>
      </c>
    </row>
    <row r="33" spans="1:4" x14ac:dyDescent="0.25">
      <c r="A33" s="46" t="s">
        <v>29</v>
      </c>
      <c r="B33" s="47">
        <v>17</v>
      </c>
      <c r="C33" s="47">
        <v>17</v>
      </c>
      <c r="D33" s="47">
        <v>4156</v>
      </c>
    </row>
    <row r="34" spans="1:4" x14ac:dyDescent="0.25">
      <c r="A34" s="46" t="s">
        <v>127</v>
      </c>
      <c r="B34" s="47">
        <v>17</v>
      </c>
      <c r="C34" s="47">
        <v>17</v>
      </c>
      <c r="D34" s="47">
        <v>4143</v>
      </c>
    </row>
    <row r="35" spans="1:4" x14ac:dyDescent="0.25">
      <c r="A35" s="46" t="s">
        <v>168</v>
      </c>
      <c r="B35" s="47">
        <v>14</v>
      </c>
      <c r="C35" s="47">
        <v>15</v>
      </c>
      <c r="D35" s="47">
        <v>4106</v>
      </c>
    </row>
    <row r="36" spans="1:4" x14ac:dyDescent="0.25">
      <c r="A36" s="46" t="s">
        <v>144</v>
      </c>
      <c r="B36" s="47">
        <v>17</v>
      </c>
      <c r="C36" s="47">
        <v>17</v>
      </c>
      <c r="D36" s="47">
        <v>4098</v>
      </c>
    </row>
    <row r="37" spans="1:4" x14ac:dyDescent="0.25">
      <c r="A37" s="46" t="s">
        <v>83</v>
      </c>
      <c r="B37" s="47">
        <v>15</v>
      </c>
      <c r="C37" s="47">
        <v>17</v>
      </c>
      <c r="D37" s="47">
        <v>4084</v>
      </c>
    </row>
    <row r="38" spans="1:4" x14ac:dyDescent="0.25">
      <c r="A38" s="46" t="s">
        <v>27</v>
      </c>
      <c r="B38" s="47">
        <v>16</v>
      </c>
      <c r="C38" s="47">
        <v>17</v>
      </c>
      <c r="D38" s="47">
        <v>4071</v>
      </c>
    </row>
    <row r="39" spans="1:4" x14ac:dyDescent="0.25">
      <c r="A39" s="46" t="s">
        <v>138</v>
      </c>
      <c r="B39" s="47">
        <v>11</v>
      </c>
      <c r="C39" s="47">
        <v>11</v>
      </c>
      <c r="D39" s="47">
        <v>4069</v>
      </c>
    </row>
    <row r="40" spans="1:4" x14ac:dyDescent="0.25">
      <c r="A40" s="46" t="s">
        <v>124</v>
      </c>
      <c r="B40" s="47">
        <v>17</v>
      </c>
      <c r="C40" s="47">
        <v>17</v>
      </c>
      <c r="D40" s="47">
        <v>4059</v>
      </c>
    </row>
    <row r="41" spans="1:4" x14ac:dyDescent="0.25">
      <c r="A41" s="46" t="s">
        <v>154</v>
      </c>
      <c r="B41" s="47">
        <v>17</v>
      </c>
      <c r="C41" s="47">
        <v>17</v>
      </c>
      <c r="D41" s="47">
        <v>4056</v>
      </c>
    </row>
    <row r="42" spans="1:4" x14ac:dyDescent="0.25">
      <c r="A42" s="46" t="s">
        <v>162</v>
      </c>
      <c r="B42" s="47">
        <v>14</v>
      </c>
      <c r="C42" s="47">
        <v>15</v>
      </c>
      <c r="D42" s="47">
        <v>4056</v>
      </c>
    </row>
    <row r="43" spans="1:4" x14ac:dyDescent="0.25">
      <c r="A43" s="46" t="s">
        <v>153</v>
      </c>
      <c r="B43" s="47">
        <v>17</v>
      </c>
      <c r="C43" s="47">
        <v>17</v>
      </c>
      <c r="D43" s="47">
        <v>4040</v>
      </c>
    </row>
    <row r="44" spans="1:4" x14ac:dyDescent="0.25">
      <c r="A44" s="46" t="s">
        <v>102</v>
      </c>
      <c r="B44" s="47">
        <v>16</v>
      </c>
      <c r="C44" s="47">
        <v>16</v>
      </c>
      <c r="D44" s="47">
        <v>4022</v>
      </c>
    </row>
    <row r="45" spans="1:4" x14ac:dyDescent="0.25">
      <c r="A45" s="46" t="s">
        <v>34</v>
      </c>
      <c r="B45" s="47">
        <v>16</v>
      </c>
      <c r="C45" s="47">
        <v>17</v>
      </c>
      <c r="D45" s="47">
        <v>4005</v>
      </c>
    </row>
    <row r="46" spans="1:4" x14ac:dyDescent="0.25">
      <c r="A46" s="46" t="s">
        <v>84</v>
      </c>
      <c r="B46" s="47">
        <v>17</v>
      </c>
      <c r="C46" s="47">
        <v>17</v>
      </c>
      <c r="D46" s="47">
        <v>4005</v>
      </c>
    </row>
    <row r="47" spans="1:4" x14ac:dyDescent="0.25">
      <c r="A47" s="46" t="s">
        <v>176</v>
      </c>
      <c r="B47" s="47">
        <v>15</v>
      </c>
      <c r="C47" s="47">
        <v>16</v>
      </c>
      <c r="D47" s="47">
        <v>4003</v>
      </c>
    </row>
    <row r="48" spans="1:4" x14ac:dyDescent="0.25">
      <c r="A48" s="46" t="s">
        <v>135</v>
      </c>
      <c r="B48" s="47">
        <v>17</v>
      </c>
      <c r="C48" s="47">
        <v>17</v>
      </c>
      <c r="D48" s="47">
        <v>4003</v>
      </c>
    </row>
    <row r="49" spans="1:4" x14ac:dyDescent="0.25">
      <c r="A49" s="46" t="s">
        <v>74</v>
      </c>
      <c r="B49" s="47">
        <v>17</v>
      </c>
      <c r="C49" s="47">
        <v>17</v>
      </c>
      <c r="D49" s="47">
        <v>3985</v>
      </c>
    </row>
    <row r="50" spans="1:4" x14ac:dyDescent="0.25">
      <c r="A50" s="46" t="s">
        <v>113</v>
      </c>
      <c r="B50" s="47">
        <v>17</v>
      </c>
      <c r="C50" s="47">
        <v>17</v>
      </c>
      <c r="D50" s="47">
        <v>3974</v>
      </c>
    </row>
    <row r="51" spans="1:4" x14ac:dyDescent="0.25">
      <c r="A51" s="46" t="s">
        <v>170</v>
      </c>
      <c r="B51" s="47">
        <v>17</v>
      </c>
      <c r="C51" s="47">
        <v>17</v>
      </c>
      <c r="D51" s="47">
        <v>3974</v>
      </c>
    </row>
    <row r="52" spans="1:4" x14ac:dyDescent="0.25">
      <c r="A52" s="46" t="s">
        <v>117</v>
      </c>
      <c r="B52" s="47">
        <v>17</v>
      </c>
      <c r="C52" s="47">
        <v>17</v>
      </c>
      <c r="D52" s="47">
        <v>3945</v>
      </c>
    </row>
    <row r="53" spans="1:4" x14ac:dyDescent="0.25">
      <c r="A53" s="46" t="s">
        <v>6</v>
      </c>
      <c r="B53" s="47">
        <v>17</v>
      </c>
      <c r="C53" s="47">
        <v>17</v>
      </c>
      <c r="D53" s="47">
        <v>3940</v>
      </c>
    </row>
    <row r="54" spans="1:4" x14ac:dyDescent="0.25">
      <c r="A54" s="46" t="s">
        <v>163</v>
      </c>
      <c r="B54" s="47">
        <v>16</v>
      </c>
      <c r="C54" s="47">
        <v>16</v>
      </c>
      <c r="D54" s="47">
        <v>3939</v>
      </c>
    </row>
    <row r="55" spans="1:4" x14ac:dyDescent="0.25">
      <c r="A55" s="46" t="s">
        <v>103</v>
      </c>
      <c r="B55" s="47">
        <v>17</v>
      </c>
      <c r="C55" s="47">
        <v>17</v>
      </c>
      <c r="D55" s="47">
        <v>3880</v>
      </c>
    </row>
    <row r="56" spans="1:4" x14ac:dyDescent="0.25">
      <c r="A56" s="46" t="s">
        <v>93</v>
      </c>
      <c r="B56" s="47">
        <v>17</v>
      </c>
      <c r="C56" s="47">
        <v>17</v>
      </c>
      <c r="D56" s="47">
        <v>3861</v>
      </c>
    </row>
    <row r="57" spans="1:4" x14ac:dyDescent="0.25">
      <c r="A57" s="46" t="s">
        <v>112</v>
      </c>
      <c r="B57" s="47">
        <v>17</v>
      </c>
      <c r="C57" s="47">
        <v>17</v>
      </c>
      <c r="D57" s="47">
        <v>3846</v>
      </c>
    </row>
    <row r="58" spans="1:4" x14ac:dyDescent="0.25">
      <c r="A58" s="46" t="s">
        <v>119</v>
      </c>
      <c r="B58" s="47">
        <v>17</v>
      </c>
      <c r="C58" s="47">
        <v>17</v>
      </c>
      <c r="D58" s="47">
        <v>3822</v>
      </c>
    </row>
    <row r="59" spans="1:4" x14ac:dyDescent="0.25">
      <c r="A59" s="46" t="s">
        <v>39</v>
      </c>
      <c r="B59" s="47">
        <v>17</v>
      </c>
      <c r="C59" s="47">
        <v>17</v>
      </c>
      <c r="D59" s="47">
        <v>3821</v>
      </c>
    </row>
    <row r="60" spans="1:4" x14ac:dyDescent="0.25">
      <c r="A60" s="46" t="s">
        <v>80</v>
      </c>
      <c r="B60" s="47">
        <v>17</v>
      </c>
      <c r="C60" s="47">
        <v>17</v>
      </c>
      <c r="D60" s="47">
        <v>3812</v>
      </c>
    </row>
    <row r="61" spans="1:4" x14ac:dyDescent="0.25">
      <c r="A61" s="46" t="s">
        <v>28</v>
      </c>
      <c r="B61" s="47">
        <v>17</v>
      </c>
      <c r="C61" s="47">
        <v>17</v>
      </c>
      <c r="D61" s="47">
        <v>3810</v>
      </c>
    </row>
    <row r="62" spans="1:4" x14ac:dyDescent="0.25">
      <c r="A62" s="46" t="s">
        <v>174</v>
      </c>
      <c r="B62" s="47">
        <v>16</v>
      </c>
      <c r="C62" s="47">
        <v>16</v>
      </c>
      <c r="D62" s="47">
        <v>3795</v>
      </c>
    </row>
    <row r="63" spans="1:4" x14ac:dyDescent="0.25">
      <c r="A63" s="46" t="s">
        <v>42</v>
      </c>
      <c r="B63" s="47">
        <v>17</v>
      </c>
      <c r="C63" s="47">
        <v>17</v>
      </c>
      <c r="D63" s="47">
        <v>3773</v>
      </c>
    </row>
    <row r="64" spans="1:4" x14ac:dyDescent="0.25">
      <c r="A64" s="46" t="s">
        <v>145</v>
      </c>
      <c r="B64" s="47">
        <v>14</v>
      </c>
      <c r="C64" s="47">
        <v>14</v>
      </c>
      <c r="D64" s="47">
        <v>3746</v>
      </c>
    </row>
    <row r="65" spans="1:4" x14ac:dyDescent="0.25">
      <c r="A65" s="46" t="s">
        <v>72</v>
      </c>
      <c r="B65" s="47">
        <v>17</v>
      </c>
      <c r="C65" s="47">
        <v>17</v>
      </c>
      <c r="D65" s="47">
        <v>3715</v>
      </c>
    </row>
    <row r="66" spans="1:4" x14ac:dyDescent="0.25">
      <c r="A66" s="46" t="s">
        <v>40</v>
      </c>
      <c r="B66" s="47">
        <v>17</v>
      </c>
      <c r="C66" s="47">
        <v>17</v>
      </c>
      <c r="D66" s="47">
        <v>3693</v>
      </c>
    </row>
    <row r="67" spans="1:4" x14ac:dyDescent="0.25">
      <c r="A67" s="46" t="s">
        <v>24</v>
      </c>
      <c r="B67" s="47">
        <v>16</v>
      </c>
      <c r="C67" s="47">
        <v>17</v>
      </c>
      <c r="D67" s="47">
        <v>3681</v>
      </c>
    </row>
    <row r="68" spans="1:4" x14ac:dyDescent="0.25">
      <c r="A68" s="46" t="s">
        <v>73</v>
      </c>
      <c r="B68" s="47">
        <v>15</v>
      </c>
      <c r="C68" s="47">
        <v>16</v>
      </c>
      <c r="D68" s="47">
        <v>3671</v>
      </c>
    </row>
    <row r="69" spans="1:4" x14ac:dyDescent="0.25">
      <c r="A69" s="46" t="s">
        <v>137</v>
      </c>
      <c r="B69" s="47">
        <v>16</v>
      </c>
      <c r="C69" s="47">
        <v>17</v>
      </c>
      <c r="D69" s="47">
        <v>3657</v>
      </c>
    </row>
    <row r="70" spans="1:4" x14ac:dyDescent="0.25">
      <c r="A70" s="46" t="s">
        <v>175</v>
      </c>
      <c r="B70" s="47">
        <v>14</v>
      </c>
      <c r="C70" s="47">
        <v>14</v>
      </c>
      <c r="D70" s="47">
        <v>3653</v>
      </c>
    </row>
    <row r="71" spans="1:4" x14ac:dyDescent="0.25">
      <c r="A71" s="46" t="s">
        <v>86</v>
      </c>
      <c r="B71" s="47">
        <v>17</v>
      </c>
      <c r="C71" s="47">
        <v>17</v>
      </c>
      <c r="D71" s="47">
        <v>3645</v>
      </c>
    </row>
    <row r="72" spans="1:4" x14ac:dyDescent="0.25">
      <c r="A72" s="46" t="s">
        <v>147</v>
      </c>
      <c r="B72" s="47">
        <v>14</v>
      </c>
      <c r="C72" s="47">
        <v>14</v>
      </c>
      <c r="D72" s="47">
        <v>3623</v>
      </c>
    </row>
    <row r="73" spans="1:4" x14ac:dyDescent="0.25">
      <c r="A73" s="46" t="s">
        <v>169</v>
      </c>
      <c r="B73" s="47">
        <v>16</v>
      </c>
      <c r="C73" s="47">
        <v>17</v>
      </c>
      <c r="D73" s="47">
        <v>3621</v>
      </c>
    </row>
    <row r="74" spans="1:4" x14ac:dyDescent="0.25">
      <c r="A74" s="46" t="s">
        <v>131</v>
      </c>
      <c r="B74" s="47">
        <v>17</v>
      </c>
      <c r="C74" s="47">
        <v>17</v>
      </c>
      <c r="D74" s="47">
        <v>3602</v>
      </c>
    </row>
    <row r="75" spans="1:4" x14ac:dyDescent="0.25">
      <c r="A75" s="46" t="s">
        <v>38</v>
      </c>
      <c r="B75" s="47">
        <v>15</v>
      </c>
      <c r="C75" s="47">
        <v>15</v>
      </c>
      <c r="D75" s="47">
        <v>3563</v>
      </c>
    </row>
    <row r="76" spans="1:4" x14ac:dyDescent="0.25">
      <c r="A76" s="46" t="s">
        <v>180</v>
      </c>
      <c r="B76" s="47">
        <v>14</v>
      </c>
      <c r="C76" s="47">
        <v>17</v>
      </c>
      <c r="D76" s="47">
        <v>3500</v>
      </c>
    </row>
    <row r="77" spans="1:4" x14ac:dyDescent="0.25">
      <c r="A77" s="46" t="s">
        <v>139</v>
      </c>
      <c r="B77" s="47">
        <v>16</v>
      </c>
      <c r="C77" s="47">
        <v>17</v>
      </c>
      <c r="D77" s="47">
        <v>3468</v>
      </c>
    </row>
    <row r="78" spans="1:4" x14ac:dyDescent="0.25">
      <c r="A78" s="46" t="s">
        <v>132</v>
      </c>
      <c r="B78" s="47">
        <v>17</v>
      </c>
      <c r="C78" s="47">
        <v>17</v>
      </c>
      <c r="D78" s="47">
        <v>3463</v>
      </c>
    </row>
    <row r="79" spans="1:4" x14ac:dyDescent="0.25">
      <c r="A79" s="46" t="s">
        <v>172</v>
      </c>
      <c r="B79" s="47">
        <v>15</v>
      </c>
      <c r="C79" s="47">
        <v>15</v>
      </c>
      <c r="D79" s="47">
        <v>3418</v>
      </c>
    </row>
    <row r="80" spans="1:4" x14ac:dyDescent="0.25">
      <c r="A80" s="46" t="s">
        <v>160</v>
      </c>
      <c r="B80" s="47">
        <v>14</v>
      </c>
      <c r="C80" s="47">
        <v>14</v>
      </c>
      <c r="D80" s="47">
        <v>3387</v>
      </c>
    </row>
    <row r="81" spans="1:4" x14ac:dyDescent="0.25">
      <c r="A81" s="46" t="s">
        <v>142</v>
      </c>
      <c r="B81" s="47">
        <v>13</v>
      </c>
      <c r="C81" s="47">
        <v>14</v>
      </c>
      <c r="D81" s="47">
        <v>3237</v>
      </c>
    </row>
    <row r="82" spans="1:4" x14ac:dyDescent="0.25">
      <c r="A82" s="46" t="s">
        <v>157</v>
      </c>
      <c r="B82" s="47">
        <v>14</v>
      </c>
      <c r="C82" s="47">
        <v>14</v>
      </c>
      <c r="D82" s="47">
        <v>3163</v>
      </c>
    </row>
    <row r="83" spans="1:4" x14ac:dyDescent="0.25">
      <c r="A83" s="46" t="s">
        <v>148</v>
      </c>
      <c r="B83" s="47">
        <v>14</v>
      </c>
      <c r="C83" s="47">
        <v>14</v>
      </c>
      <c r="D83" s="47">
        <v>3079</v>
      </c>
    </row>
    <row r="84" spans="1:4" x14ac:dyDescent="0.25">
      <c r="A84" s="46" t="s">
        <v>120</v>
      </c>
      <c r="B84" s="47">
        <v>14</v>
      </c>
      <c r="C84" s="47">
        <v>17</v>
      </c>
      <c r="D84" s="47">
        <v>2984</v>
      </c>
    </row>
    <row r="85" spans="1:4" x14ac:dyDescent="0.25">
      <c r="A85" s="46" t="s">
        <v>156</v>
      </c>
      <c r="B85" s="47">
        <v>13</v>
      </c>
      <c r="C85" s="47">
        <v>14</v>
      </c>
      <c r="D85" s="47">
        <v>2888</v>
      </c>
    </row>
    <row r="86" spans="1:4" x14ac:dyDescent="0.25">
      <c r="A86" s="46" t="s">
        <v>155</v>
      </c>
      <c r="B86" s="47">
        <v>10</v>
      </c>
      <c r="C86" s="47">
        <v>11</v>
      </c>
      <c r="D86" s="47">
        <v>2671</v>
      </c>
    </row>
    <row r="87" spans="1:4" x14ac:dyDescent="0.25">
      <c r="A87" s="46" t="s">
        <v>164</v>
      </c>
      <c r="B87" s="47">
        <v>9</v>
      </c>
      <c r="C87" s="47">
        <v>11</v>
      </c>
      <c r="D87" s="47">
        <v>2530</v>
      </c>
    </row>
    <row r="88" spans="1:4" x14ac:dyDescent="0.25">
      <c r="A88" s="46" t="s">
        <v>146</v>
      </c>
      <c r="B88" s="47">
        <v>8</v>
      </c>
      <c r="C88" s="47">
        <v>10</v>
      </c>
      <c r="D88" s="47">
        <v>2257</v>
      </c>
    </row>
    <row r="89" spans="1:4" x14ac:dyDescent="0.25">
      <c r="A89" s="46" t="s">
        <v>41</v>
      </c>
      <c r="B89" s="47">
        <v>10</v>
      </c>
      <c r="C89" s="47">
        <v>10</v>
      </c>
      <c r="D89" s="47">
        <v>2108</v>
      </c>
    </row>
    <row r="90" spans="1:4" x14ac:dyDescent="0.25">
      <c r="A90" s="46" t="s">
        <v>159</v>
      </c>
      <c r="B90" s="47">
        <v>8</v>
      </c>
      <c r="C90" s="47">
        <v>10</v>
      </c>
      <c r="D90" s="47">
        <v>2084</v>
      </c>
    </row>
    <row r="91" spans="1:4" x14ac:dyDescent="0.25">
      <c r="A91" s="46" t="s">
        <v>94</v>
      </c>
      <c r="B91" s="47">
        <v>4</v>
      </c>
      <c r="C91" s="47">
        <v>5</v>
      </c>
      <c r="D91" s="47">
        <v>747</v>
      </c>
    </row>
    <row r="92" spans="1:4" x14ac:dyDescent="0.25">
      <c r="A92" s="46" t="s">
        <v>173</v>
      </c>
      <c r="B92" s="47">
        <v>3</v>
      </c>
      <c r="C92" s="47">
        <v>8</v>
      </c>
      <c r="D92" s="47">
        <v>717</v>
      </c>
    </row>
    <row r="93" spans="1:4" x14ac:dyDescent="0.25">
      <c r="A93" s="46" t="s">
        <v>182</v>
      </c>
      <c r="B93" s="47">
        <v>0</v>
      </c>
      <c r="C93" s="47">
        <v>0</v>
      </c>
      <c r="D93" s="47">
        <v>0</v>
      </c>
    </row>
    <row r="94" spans="1:4" x14ac:dyDescent="0.25">
      <c r="A94" s="46" t="s">
        <v>179</v>
      </c>
      <c r="B94" s="47">
        <v>0</v>
      </c>
      <c r="C94" s="47">
        <v>0</v>
      </c>
      <c r="D94" s="47">
        <v>0</v>
      </c>
    </row>
    <row r="95" spans="1:4" x14ac:dyDescent="0.25">
      <c r="A95" s="46" t="s">
        <v>181</v>
      </c>
      <c r="B95" s="47">
        <v>0</v>
      </c>
      <c r="C95" s="47">
        <v>0</v>
      </c>
      <c r="D95" s="47">
        <v>0</v>
      </c>
    </row>
    <row r="96" spans="1:4" x14ac:dyDescent="0.25">
      <c r="A96" s="46" t="s">
        <v>143</v>
      </c>
      <c r="B96" s="47">
        <v>0</v>
      </c>
      <c r="C96" s="47">
        <v>0</v>
      </c>
      <c r="D96" s="47">
        <v>0</v>
      </c>
    </row>
    <row r="97" spans="1:4" x14ac:dyDescent="0.25">
      <c r="A97" s="46" t="s">
        <v>101</v>
      </c>
      <c r="B97" s="47">
        <v>0</v>
      </c>
      <c r="C97" s="47">
        <v>0</v>
      </c>
      <c r="D97" s="47">
        <v>0</v>
      </c>
    </row>
    <row r="98" spans="1:4" x14ac:dyDescent="0.25">
      <c r="A98" s="46" t="s">
        <v>141</v>
      </c>
      <c r="B98" s="47">
        <v>0</v>
      </c>
      <c r="C98" s="47">
        <v>0</v>
      </c>
      <c r="D98" s="47">
        <v>0</v>
      </c>
    </row>
    <row r="99" spans="1:4" x14ac:dyDescent="0.25">
      <c r="A99" s="46" t="s">
        <v>129</v>
      </c>
      <c r="B99" s="47">
        <v>0</v>
      </c>
      <c r="C99" s="47">
        <v>0</v>
      </c>
      <c r="D99" s="47">
        <v>0</v>
      </c>
    </row>
    <row r="100" spans="1:4" x14ac:dyDescent="0.25">
      <c r="A100" s="46" t="s">
        <v>183</v>
      </c>
      <c r="B100" s="47">
        <v>0</v>
      </c>
      <c r="C100" s="47">
        <v>0</v>
      </c>
      <c r="D100" s="47">
        <v>0</v>
      </c>
    </row>
    <row r="101" spans="1:4" x14ac:dyDescent="0.25">
      <c r="A101" s="46" t="s">
        <v>136</v>
      </c>
      <c r="B101" s="47">
        <v>0</v>
      </c>
      <c r="C101" s="47">
        <v>0</v>
      </c>
      <c r="D101" s="47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8EC72-225E-45CC-94A5-A6FD6BDFADD1}">
  <dimension ref="A1:N106"/>
  <sheetViews>
    <sheetView workbookViewId="0">
      <selection activeCell="K4" sqref="K4"/>
    </sheetView>
  </sheetViews>
  <sheetFormatPr baseColWidth="10" defaultRowHeight="15" x14ac:dyDescent="0.25"/>
  <cols>
    <col min="1" max="1" width="11.7109375" bestFit="1" customWidth="1"/>
    <col min="2" max="2" width="11.140625" bestFit="1" customWidth="1"/>
    <col min="3" max="3" width="11" bestFit="1" customWidth="1"/>
    <col min="4" max="4" width="14.7109375" bestFit="1" customWidth="1"/>
    <col min="5" max="5" width="13.42578125" style="26" customWidth="1"/>
    <col min="6" max="10" width="14.85546875" customWidth="1"/>
    <col min="11" max="12" width="16.5703125" bestFit="1" customWidth="1"/>
    <col min="13" max="13" width="23.140625" bestFit="1" customWidth="1"/>
  </cols>
  <sheetData>
    <row r="1" spans="1:14" x14ac:dyDescent="0.25">
      <c r="A1" s="2" t="s">
        <v>3</v>
      </c>
      <c r="B1" s="2" t="s">
        <v>2</v>
      </c>
      <c r="C1" s="2" t="s">
        <v>57</v>
      </c>
      <c r="D1" s="2" t="s">
        <v>0</v>
      </c>
      <c r="E1" s="3" t="s">
        <v>4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M1" s="13" t="s">
        <v>184</v>
      </c>
    </row>
    <row r="2" spans="1:14" ht="6.75" customHeight="1" x14ac:dyDescent="0.25"/>
    <row r="3" spans="1:14" x14ac:dyDescent="0.25">
      <c r="D3" s="1" t="s">
        <v>1</v>
      </c>
      <c r="E3" s="29">
        <v>2217</v>
      </c>
      <c r="F3" s="29">
        <v>134</v>
      </c>
      <c r="G3" s="29">
        <v>1745</v>
      </c>
      <c r="H3" s="29">
        <v>279</v>
      </c>
      <c r="I3" s="29">
        <v>29</v>
      </c>
      <c r="J3" s="29">
        <v>30</v>
      </c>
      <c r="K3" s="8"/>
      <c r="L3" s="8"/>
    </row>
    <row r="4" spans="1:14" x14ac:dyDescent="0.25">
      <c r="K4" s="6" t="s">
        <v>21</v>
      </c>
      <c r="L4" s="6" t="s">
        <v>22</v>
      </c>
      <c r="M4" s="5" t="s">
        <v>5</v>
      </c>
    </row>
    <row r="5" spans="1:14" x14ac:dyDescent="0.25">
      <c r="A5" s="11" t="s">
        <v>88</v>
      </c>
      <c r="B5" s="16" t="s">
        <v>47</v>
      </c>
      <c r="C5" s="9">
        <v>2119238620</v>
      </c>
      <c r="D5" s="9" t="s">
        <v>164</v>
      </c>
      <c r="E5" s="28">
        <v>1</v>
      </c>
      <c r="F5" s="7">
        <v>1</v>
      </c>
      <c r="G5" s="7">
        <v>0</v>
      </c>
      <c r="H5" s="7">
        <v>0</v>
      </c>
      <c r="I5" s="7">
        <v>0</v>
      </c>
      <c r="J5" s="7">
        <v>0</v>
      </c>
      <c r="K5" s="25">
        <v>0</v>
      </c>
      <c r="L5" s="24">
        <v>1</v>
      </c>
      <c r="M5" s="17">
        <v>35</v>
      </c>
      <c r="N5" s="8"/>
    </row>
    <row r="6" spans="1:14" x14ac:dyDescent="0.25">
      <c r="A6" s="11" t="s">
        <v>88</v>
      </c>
      <c r="B6" s="16" t="s">
        <v>109</v>
      </c>
      <c r="C6" s="9">
        <v>416845218</v>
      </c>
      <c r="D6" s="9" t="s">
        <v>29</v>
      </c>
      <c r="E6" s="28">
        <v>19</v>
      </c>
      <c r="F6" s="7">
        <v>0</v>
      </c>
      <c r="G6" s="7">
        <v>17</v>
      </c>
      <c r="H6" s="7">
        <v>0</v>
      </c>
      <c r="I6" s="7">
        <v>2</v>
      </c>
      <c r="J6" s="7">
        <v>0</v>
      </c>
      <c r="K6" s="25">
        <v>35</v>
      </c>
      <c r="L6" s="24">
        <v>145</v>
      </c>
      <c r="M6" s="17" t="s">
        <v>186</v>
      </c>
      <c r="N6" s="8"/>
    </row>
    <row r="7" spans="1:14" x14ac:dyDescent="0.25">
      <c r="A7" s="11" t="s">
        <v>88</v>
      </c>
      <c r="B7" s="16" t="s">
        <v>47</v>
      </c>
      <c r="C7" s="9">
        <v>597879167</v>
      </c>
      <c r="D7" s="9" t="s">
        <v>127</v>
      </c>
      <c r="E7" s="28">
        <v>5</v>
      </c>
      <c r="F7" s="7">
        <v>0</v>
      </c>
      <c r="G7" s="7">
        <v>3</v>
      </c>
      <c r="H7" s="7">
        <v>2</v>
      </c>
      <c r="I7" s="7">
        <v>0</v>
      </c>
      <c r="J7" s="7">
        <v>0</v>
      </c>
      <c r="K7" s="25">
        <v>13</v>
      </c>
      <c r="L7" s="24">
        <v>45</v>
      </c>
      <c r="M7" s="17">
        <v>22</v>
      </c>
      <c r="N7" s="8"/>
    </row>
    <row r="8" spans="1:14" x14ac:dyDescent="0.25">
      <c r="A8" s="11" t="s">
        <v>88</v>
      </c>
      <c r="B8" s="16" t="s">
        <v>109</v>
      </c>
      <c r="C8" s="9">
        <v>346561690</v>
      </c>
      <c r="D8" s="9" t="s">
        <v>24</v>
      </c>
      <c r="E8" s="28">
        <v>18</v>
      </c>
      <c r="F8" s="7">
        <v>1</v>
      </c>
      <c r="G8" s="7">
        <v>10</v>
      </c>
      <c r="H8" s="7">
        <v>6</v>
      </c>
      <c r="I8" s="7">
        <v>1</v>
      </c>
      <c r="J8" s="7">
        <v>0</v>
      </c>
      <c r="K8" s="25">
        <v>49</v>
      </c>
      <c r="L8" s="24">
        <v>171</v>
      </c>
      <c r="M8" s="17" t="s">
        <v>186</v>
      </c>
      <c r="N8" s="8"/>
    </row>
    <row r="9" spans="1:14" x14ac:dyDescent="0.25">
      <c r="A9" s="11" t="s">
        <v>88</v>
      </c>
      <c r="B9" s="16" t="s">
        <v>109</v>
      </c>
      <c r="C9" s="9">
        <v>365438142</v>
      </c>
      <c r="D9" s="9" t="s">
        <v>25</v>
      </c>
      <c r="E9" s="28">
        <v>12</v>
      </c>
      <c r="F9" s="7">
        <v>0</v>
      </c>
      <c r="G9" s="7">
        <v>4</v>
      </c>
      <c r="H9" s="7">
        <v>8</v>
      </c>
      <c r="I9" s="7">
        <v>0</v>
      </c>
      <c r="J9" s="7">
        <v>0</v>
      </c>
      <c r="K9" s="25">
        <v>44</v>
      </c>
      <c r="L9" s="24">
        <v>140</v>
      </c>
      <c r="M9" s="17" t="s">
        <v>186</v>
      </c>
      <c r="N9" s="8"/>
    </row>
    <row r="10" spans="1:14" x14ac:dyDescent="0.25">
      <c r="A10" s="11" t="s">
        <v>88</v>
      </c>
      <c r="B10" s="16" t="s">
        <v>109</v>
      </c>
      <c r="C10" s="9">
        <v>969689378</v>
      </c>
      <c r="D10" s="9" t="s">
        <v>179</v>
      </c>
      <c r="E10" s="28">
        <v>50</v>
      </c>
      <c r="F10" s="7">
        <v>0</v>
      </c>
      <c r="G10" s="7">
        <v>47</v>
      </c>
      <c r="H10" s="7">
        <v>3</v>
      </c>
      <c r="I10" s="7">
        <v>0</v>
      </c>
      <c r="J10" s="7">
        <v>0</v>
      </c>
      <c r="K10" s="25">
        <v>62</v>
      </c>
      <c r="L10" s="24">
        <v>280</v>
      </c>
      <c r="M10" s="17" t="s">
        <v>186</v>
      </c>
      <c r="N10" s="8"/>
    </row>
    <row r="11" spans="1:14" x14ac:dyDescent="0.25">
      <c r="A11" s="11" t="s">
        <v>88</v>
      </c>
      <c r="B11" s="16" t="s">
        <v>47</v>
      </c>
      <c r="C11" s="9">
        <v>0</v>
      </c>
      <c r="D11" s="9" t="s">
        <v>116</v>
      </c>
      <c r="E11" s="28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25">
        <v>0</v>
      </c>
      <c r="L11" s="24">
        <v>0</v>
      </c>
      <c r="M11" s="17">
        <v>35</v>
      </c>
      <c r="N11" s="8"/>
    </row>
    <row r="12" spans="1:14" x14ac:dyDescent="0.25">
      <c r="A12" s="11" t="s">
        <v>88</v>
      </c>
      <c r="B12" s="16" t="s">
        <v>109</v>
      </c>
      <c r="C12" s="9">
        <v>326455645</v>
      </c>
      <c r="D12" s="9" t="s">
        <v>26</v>
      </c>
      <c r="E12" s="28">
        <v>50</v>
      </c>
      <c r="F12" s="7">
        <v>0</v>
      </c>
      <c r="G12" s="7">
        <v>50</v>
      </c>
      <c r="H12" s="7">
        <v>0</v>
      </c>
      <c r="I12" s="7">
        <v>0</v>
      </c>
      <c r="J12" s="7">
        <v>0</v>
      </c>
      <c r="K12" s="25">
        <v>50</v>
      </c>
      <c r="L12" s="24">
        <v>250</v>
      </c>
      <c r="M12" s="17" t="s">
        <v>186</v>
      </c>
      <c r="N12" s="8"/>
    </row>
    <row r="13" spans="1:14" x14ac:dyDescent="0.25">
      <c r="A13" s="11" t="s">
        <v>110</v>
      </c>
      <c r="B13" s="16" t="s">
        <v>109</v>
      </c>
      <c r="C13" s="9">
        <v>2115871936</v>
      </c>
      <c r="D13" s="9" t="s">
        <v>104</v>
      </c>
      <c r="E13" s="28">
        <v>19</v>
      </c>
      <c r="F13" s="7">
        <v>15</v>
      </c>
      <c r="G13" s="7">
        <v>4</v>
      </c>
      <c r="H13" s="7">
        <v>0</v>
      </c>
      <c r="I13" s="7">
        <v>0</v>
      </c>
      <c r="J13" s="7">
        <v>0</v>
      </c>
      <c r="K13" s="25">
        <v>4</v>
      </c>
      <c r="L13" s="24">
        <v>35</v>
      </c>
      <c r="M13" s="17" t="s">
        <v>186</v>
      </c>
      <c r="N13" s="8"/>
    </row>
    <row r="14" spans="1:14" x14ac:dyDescent="0.25">
      <c r="A14" s="11" t="s">
        <v>110</v>
      </c>
      <c r="B14" s="16" t="s">
        <v>109</v>
      </c>
      <c r="C14" s="9">
        <v>2024927090</v>
      </c>
      <c r="D14" s="9" t="s">
        <v>34</v>
      </c>
      <c r="E14" s="28">
        <v>7</v>
      </c>
      <c r="F14" s="7">
        <v>0</v>
      </c>
      <c r="G14" s="7">
        <v>7</v>
      </c>
      <c r="H14" s="7">
        <v>0</v>
      </c>
      <c r="I14" s="7">
        <v>0</v>
      </c>
      <c r="J14" s="7">
        <v>0</v>
      </c>
      <c r="K14" s="25">
        <v>7</v>
      </c>
      <c r="L14" s="24">
        <v>35</v>
      </c>
      <c r="M14" s="17" t="s">
        <v>186</v>
      </c>
      <c r="N14" s="8"/>
    </row>
    <row r="15" spans="1:14" x14ac:dyDescent="0.25">
      <c r="A15" s="11" t="s">
        <v>110</v>
      </c>
      <c r="B15" s="16" t="s">
        <v>109</v>
      </c>
      <c r="C15" s="9">
        <v>1483867967</v>
      </c>
      <c r="D15" s="9" t="s">
        <v>171</v>
      </c>
      <c r="E15" s="28">
        <v>5</v>
      </c>
      <c r="F15" s="7">
        <v>0</v>
      </c>
      <c r="G15" s="7">
        <v>4</v>
      </c>
      <c r="H15" s="7">
        <v>1</v>
      </c>
      <c r="I15" s="7">
        <v>0</v>
      </c>
      <c r="J15" s="7">
        <v>0</v>
      </c>
      <c r="K15" s="25">
        <v>9</v>
      </c>
      <c r="L15" s="24">
        <v>35</v>
      </c>
      <c r="M15" s="17" t="s">
        <v>186</v>
      </c>
      <c r="N15" s="8"/>
    </row>
    <row r="16" spans="1:14" x14ac:dyDescent="0.25">
      <c r="A16" s="11" t="s">
        <v>88</v>
      </c>
      <c r="B16" s="16" t="s">
        <v>109</v>
      </c>
      <c r="C16" s="9">
        <v>625607335</v>
      </c>
      <c r="D16" s="9" t="s">
        <v>168</v>
      </c>
      <c r="E16" s="28">
        <v>37</v>
      </c>
      <c r="F16" s="7">
        <v>0</v>
      </c>
      <c r="G16" s="7">
        <v>35</v>
      </c>
      <c r="H16" s="7">
        <v>2</v>
      </c>
      <c r="I16" s="7">
        <v>0</v>
      </c>
      <c r="J16" s="7">
        <v>0</v>
      </c>
      <c r="K16" s="25">
        <v>45</v>
      </c>
      <c r="L16" s="24">
        <v>205</v>
      </c>
      <c r="M16" s="17" t="s">
        <v>186</v>
      </c>
      <c r="N16" s="8"/>
    </row>
    <row r="17" spans="1:14" x14ac:dyDescent="0.25">
      <c r="A17" s="11" t="s">
        <v>88</v>
      </c>
      <c r="B17" s="16" t="s">
        <v>109</v>
      </c>
      <c r="C17" s="9">
        <v>357402771</v>
      </c>
      <c r="D17" s="9" t="s">
        <v>27</v>
      </c>
      <c r="E17" s="28">
        <v>23</v>
      </c>
      <c r="F17" s="7">
        <v>0</v>
      </c>
      <c r="G17" s="7">
        <v>20</v>
      </c>
      <c r="H17" s="7">
        <v>2</v>
      </c>
      <c r="I17" s="7">
        <v>1</v>
      </c>
      <c r="J17" s="7">
        <v>0</v>
      </c>
      <c r="K17" s="25">
        <v>39</v>
      </c>
      <c r="L17" s="24">
        <v>160</v>
      </c>
      <c r="M17" s="17" t="s">
        <v>186</v>
      </c>
      <c r="N17" s="8"/>
    </row>
    <row r="18" spans="1:14" x14ac:dyDescent="0.25">
      <c r="A18" s="11" t="s">
        <v>88</v>
      </c>
      <c r="B18" s="16" t="s">
        <v>109</v>
      </c>
      <c r="C18" s="9">
        <v>1041405085</v>
      </c>
      <c r="D18" s="9" t="s">
        <v>128</v>
      </c>
      <c r="E18" s="28">
        <v>25</v>
      </c>
      <c r="F18" s="7">
        <v>0</v>
      </c>
      <c r="G18" s="7">
        <v>22</v>
      </c>
      <c r="H18" s="7">
        <v>3</v>
      </c>
      <c r="I18" s="7">
        <v>0</v>
      </c>
      <c r="J18" s="7">
        <v>0</v>
      </c>
      <c r="K18" s="25">
        <v>37</v>
      </c>
      <c r="L18" s="24">
        <v>155</v>
      </c>
      <c r="M18" s="17" t="s">
        <v>186</v>
      </c>
      <c r="N18" s="8"/>
    </row>
    <row r="19" spans="1:14" x14ac:dyDescent="0.25">
      <c r="A19" s="11" t="s">
        <v>88</v>
      </c>
      <c r="B19" s="16" t="s">
        <v>47</v>
      </c>
      <c r="C19" s="9">
        <v>1693317344</v>
      </c>
      <c r="D19" s="9" t="s">
        <v>155</v>
      </c>
      <c r="E19" s="28">
        <v>30</v>
      </c>
      <c r="F19" s="7">
        <v>0</v>
      </c>
      <c r="G19" s="7">
        <v>30</v>
      </c>
      <c r="H19" s="7">
        <v>0</v>
      </c>
      <c r="I19" s="7">
        <v>0</v>
      </c>
      <c r="J19" s="7">
        <v>0</v>
      </c>
      <c r="K19" s="25">
        <v>30</v>
      </c>
      <c r="L19" s="24">
        <v>150</v>
      </c>
      <c r="M19" s="17">
        <v>5</v>
      </c>
      <c r="N19" s="8"/>
    </row>
    <row r="20" spans="1:14" x14ac:dyDescent="0.25">
      <c r="A20" s="11" t="s">
        <v>88</v>
      </c>
      <c r="B20" s="16" t="s">
        <v>109</v>
      </c>
      <c r="C20" s="9">
        <v>527890484</v>
      </c>
      <c r="D20" s="9" t="s">
        <v>118</v>
      </c>
      <c r="E20" s="28">
        <v>52</v>
      </c>
      <c r="F20" s="7">
        <v>0</v>
      </c>
      <c r="G20" s="7">
        <v>37</v>
      </c>
      <c r="H20" s="7">
        <v>13</v>
      </c>
      <c r="I20" s="7">
        <v>2</v>
      </c>
      <c r="J20" s="7">
        <v>0</v>
      </c>
      <c r="K20" s="25">
        <v>120</v>
      </c>
      <c r="L20" s="24">
        <v>440</v>
      </c>
      <c r="M20" s="17" t="s">
        <v>186</v>
      </c>
      <c r="N20" s="8"/>
    </row>
    <row r="21" spans="1:14" x14ac:dyDescent="0.25">
      <c r="A21" s="11" t="s">
        <v>88</v>
      </c>
      <c r="B21" s="16" t="s">
        <v>109</v>
      </c>
      <c r="C21" s="9">
        <v>1036786251</v>
      </c>
      <c r="D21" s="9" t="s">
        <v>117</v>
      </c>
      <c r="E21" s="28">
        <v>11</v>
      </c>
      <c r="F21" s="7">
        <v>0</v>
      </c>
      <c r="G21" s="7">
        <v>5</v>
      </c>
      <c r="H21" s="7">
        <v>6</v>
      </c>
      <c r="I21" s="7">
        <v>0</v>
      </c>
      <c r="J21" s="7">
        <v>0</v>
      </c>
      <c r="K21" s="25">
        <v>35</v>
      </c>
      <c r="L21" s="24">
        <v>115</v>
      </c>
      <c r="M21" s="17" t="s">
        <v>186</v>
      </c>
      <c r="N21" s="8"/>
    </row>
    <row r="22" spans="1:14" x14ac:dyDescent="0.25">
      <c r="A22" s="11" t="s">
        <v>88</v>
      </c>
      <c r="B22" s="16" t="s">
        <v>109</v>
      </c>
      <c r="C22" s="9">
        <v>747071768</v>
      </c>
      <c r="D22" s="9" t="s">
        <v>112</v>
      </c>
      <c r="E22" s="28">
        <v>41</v>
      </c>
      <c r="F22" s="7">
        <v>6</v>
      </c>
      <c r="G22" s="7">
        <v>35</v>
      </c>
      <c r="H22" s="7">
        <v>0</v>
      </c>
      <c r="I22" s="7">
        <v>0</v>
      </c>
      <c r="J22" s="7">
        <v>0</v>
      </c>
      <c r="K22" s="25">
        <v>35</v>
      </c>
      <c r="L22" s="24">
        <v>181</v>
      </c>
      <c r="M22" s="17" t="s">
        <v>186</v>
      </c>
      <c r="N22" s="8"/>
    </row>
    <row r="23" spans="1:14" x14ac:dyDescent="0.25">
      <c r="A23" s="11" t="s">
        <v>88</v>
      </c>
      <c r="B23" s="16" t="s">
        <v>47</v>
      </c>
      <c r="C23" s="9">
        <v>386453157</v>
      </c>
      <c r="D23" s="9" t="s">
        <v>119</v>
      </c>
      <c r="E23" s="28">
        <v>9</v>
      </c>
      <c r="F23" s="7">
        <v>0</v>
      </c>
      <c r="G23" s="7">
        <v>4</v>
      </c>
      <c r="H23" s="7">
        <v>5</v>
      </c>
      <c r="I23" s="7">
        <v>0</v>
      </c>
      <c r="J23" s="7">
        <v>0</v>
      </c>
      <c r="K23" s="25">
        <v>29</v>
      </c>
      <c r="L23" s="24">
        <v>95</v>
      </c>
      <c r="M23" s="17">
        <v>6</v>
      </c>
      <c r="N23" s="8"/>
    </row>
    <row r="24" spans="1:14" x14ac:dyDescent="0.25">
      <c r="A24" s="11" t="s">
        <v>88</v>
      </c>
      <c r="B24" s="16" t="s">
        <v>109</v>
      </c>
      <c r="C24" s="9">
        <v>611721390</v>
      </c>
      <c r="D24" s="9" t="s">
        <v>89</v>
      </c>
      <c r="E24" s="28">
        <v>17</v>
      </c>
      <c r="F24" s="7">
        <v>0</v>
      </c>
      <c r="G24" s="7">
        <v>13</v>
      </c>
      <c r="H24" s="7">
        <v>0</v>
      </c>
      <c r="I24" s="7">
        <v>0</v>
      </c>
      <c r="J24" s="7">
        <v>4</v>
      </c>
      <c r="K24" s="25">
        <v>85</v>
      </c>
      <c r="L24" s="24">
        <v>345</v>
      </c>
      <c r="M24" s="17" t="s">
        <v>186</v>
      </c>
      <c r="N24" s="8"/>
    </row>
    <row r="25" spans="1:14" x14ac:dyDescent="0.25">
      <c r="A25" s="11" t="s">
        <v>88</v>
      </c>
      <c r="B25" s="16" t="s">
        <v>109</v>
      </c>
      <c r="C25" s="9">
        <v>471968668</v>
      </c>
      <c r="D25" s="9" t="s">
        <v>176</v>
      </c>
      <c r="E25" s="28">
        <v>41</v>
      </c>
      <c r="F25" s="7">
        <v>0</v>
      </c>
      <c r="G25" s="7">
        <v>34</v>
      </c>
      <c r="H25" s="7">
        <v>4</v>
      </c>
      <c r="I25" s="7">
        <v>2</v>
      </c>
      <c r="J25" s="7">
        <v>1</v>
      </c>
      <c r="K25" s="25">
        <v>90</v>
      </c>
      <c r="L25" s="24">
        <v>360</v>
      </c>
      <c r="M25" s="17" t="s">
        <v>186</v>
      </c>
      <c r="N25" s="8"/>
    </row>
    <row r="26" spans="1:14" x14ac:dyDescent="0.25">
      <c r="A26" s="11" t="s">
        <v>88</v>
      </c>
      <c r="B26" s="16" t="s">
        <v>47</v>
      </c>
      <c r="C26" s="9">
        <v>866932727</v>
      </c>
      <c r="D26" s="9" t="s">
        <v>181</v>
      </c>
      <c r="E26" s="28">
        <v>26</v>
      </c>
      <c r="F26" s="7">
        <v>0</v>
      </c>
      <c r="G26" s="7">
        <v>25</v>
      </c>
      <c r="H26" s="7">
        <v>1</v>
      </c>
      <c r="I26" s="7">
        <v>0</v>
      </c>
      <c r="J26" s="7">
        <v>0</v>
      </c>
      <c r="K26" s="25">
        <v>30</v>
      </c>
      <c r="L26" s="24">
        <v>140</v>
      </c>
      <c r="M26" s="17">
        <v>5</v>
      </c>
      <c r="N26" s="8"/>
    </row>
    <row r="27" spans="1:14" x14ac:dyDescent="0.25">
      <c r="A27" s="11" t="s">
        <v>88</v>
      </c>
      <c r="B27" s="16" t="s">
        <v>47</v>
      </c>
      <c r="C27" s="9">
        <v>412543735</v>
      </c>
      <c r="D27" s="9" t="s">
        <v>129</v>
      </c>
      <c r="E27" s="28">
        <v>5</v>
      </c>
      <c r="F27" s="7">
        <v>0</v>
      </c>
      <c r="G27" s="7">
        <v>0</v>
      </c>
      <c r="H27" s="7">
        <v>5</v>
      </c>
      <c r="I27" s="7">
        <v>0</v>
      </c>
      <c r="J27" s="7">
        <v>0</v>
      </c>
      <c r="K27" s="25">
        <v>25</v>
      </c>
      <c r="L27" s="24">
        <v>75</v>
      </c>
      <c r="M27" s="17">
        <v>10</v>
      </c>
      <c r="N27" s="8"/>
    </row>
    <row r="28" spans="1:14" x14ac:dyDescent="0.25">
      <c r="A28" s="11" t="s">
        <v>88</v>
      </c>
      <c r="B28" s="16" t="s">
        <v>109</v>
      </c>
      <c r="C28" s="9">
        <v>723725687</v>
      </c>
      <c r="D28" s="9" t="s">
        <v>71</v>
      </c>
      <c r="E28" s="28">
        <v>37</v>
      </c>
      <c r="F28" s="7">
        <v>0</v>
      </c>
      <c r="G28" s="7">
        <v>35</v>
      </c>
      <c r="H28" s="7">
        <v>0</v>
      </c>
      <c r="I28" s="7">
        <v>0</v>
      </c>
      <c r="J28" s="7">
        <v>2</v>
      </c>
      <c r="K28" s="25">
        <v>71</v>
      </c>
      <c r="L28" s="24">
        <v>315</v>
      </c>
      <c r="M28" s="17" t="s">
        <v>186</v>
      </c>
      <c r="N28" s="8"/>
    </row>
    <row r="29" spans="1:14" x14ac:dyDescent="0.25">
      <c r="A29" s="11" t="s">
        <v>88</v>
      </c>
      <c r="B29" s="16" t="s">
        <v>47</v>
      </c>
      <c r="C29" s="9">
        <v>1698596813</v>
      </c>
      <c r="D29" s="9" t="s">
        <v>130</v>
      </c>
      <c r="E29" s="28">
        <v>30</v>
      </c>
      <c r="F29" s="7">
        <v>6</v>
      </c>
      <c r="G29" s="7">
        <v>24</v>
      </c>
      <c r="H29" s="7">
        <v>0</v>
      </c>
      <c r="I29" s="7">
        <v>0</v>
      </c>
      <c r="J29" s="7">
        <v>0</v>
      </c>
      <c r="K29" s="25">
        <v>24</v>
      </c>
      <c r="L29" s="24">
        <v>126</v>
      </c>
      <c r="M29" s="17">
        <v>11</v>
      </c>
      <c r="N29" s="8"/>
    </row>
    <row r="30" spans="1:14" x14ac:dyDescent="0.25">
      <c r="A30" s="11" t="s">
        <v>88</v>
      </c>
      <c r="B30" s="16" t="s">
        <v>47</v>
      </c>
      <c r="C30" s="9">
        <v>735092980</v>
      </c>
      <c r="D30" s="9" t="s">
        <v>120</v>
      </c>
      <c r="E30" s="28">
        <v>8</v>
      </c>
      <c r="F30" s="7">
        <v>1</v>
      </c>
      <c r="G30" s="7">
        <v>5</v>
      </c>
      <c r="H30" s="7">
        <v>2</v>
      </c>
      <c r="I30" s="7">
        <v>0</v>
      </c>
      <c r="J30" s="7">
        <v>0</v>
      </c>
      <c r="K30" s="25">
        <v>15</v>
      </c>
      <c r="L30" s="24">
        <v>56</v>
      </c>
      <c r="M30" s="17">
        <v>20</v>
      </c>
      <c r="N30" s="8"/>
    </row>
    <row r="31" spans="1:14" x14ac:dyDescent="0.25">
      <c r="A31" s="11" t="s">
        <v>88</v>
      </c>
      <c r="B31" s="16" t="s">
        <v>109</v>
      </c>
      <c r="C31" s="9">
        <v>1346964807</v>
      </c>
      <c r="D31" s="9" t="s">
        <v>131</v>
      </c>
      <c r="E31" s="28">
        <v>29</v>
      </c>
      <c r="F31" s="7">
        <v>0</v>
      </c>
      <c r="G31" s="7">
        <v>24</v>
      </c>
      <c r="H31" s="7">
        <v>5</v>
      </c>
      <c r="I31" s="7">
        <v>0</v>
      </c>
      <c r="J31" s="7">
        <v>0</v>
      </c>
      <c r="K31" s="25">
        <v>49</v>
      </c>
      <c r="L31" s="24">
        <v>195</v>
      </c>
      <c r="M31" s="17" t="s">
        <v>186</v>
      </c>
      <c r="N31" s="8"/>
    </row>
    <row r="32" spans="1:14" x14ac:dyDescent="0.25">
      <c r="A32" s="11" t="s">
        <v>88</v>
      </c>
      <c r="B32" s="16" t="s">
        <v>109</v>
      </c>
      <c r="C32" s="9">
        <v>1529804845</v>
      </c>
      <c r="D32" s="9" t="s">
        <v>132</v>
      </c>
      <c r="E32" s="28">
        <v>26</v>
      </c>
      <c r="F32" s="7">
        <v>0</v>
      </c>
      <c r="G32" s="7">
        <v>20</v>
      </c>
      <c r="H32" s="7">
        <v>6</v>
      </c>
      <c r="I32" s="7">
        <v>0</v>
      </c>
      <c r="J32" s="7">
        <v>0</v>
      </c>
      <c r="K32" s="25">
        <v>50</v>
      </c>
      <c r="L32" s="24">
        <v>190</v>
      </c>
      <c r="M32" s="17" t="s">
        <v>186</v>
      </c>
      <c r="N32" s="8"/>
    </row>
    <row r="33" spans="1:14" x14ac:dyDescent="0.25">
      <c r="A33" s="11" t="s">
        <v>110</v>
      </c>
      <c r="B33" s="16" t="s">
        <v>109</v>
      </c>
      <c r="C33" s="9">
        <v>2060348531</v>
      </c>
      <c r="D33" s="9" t="s">
        <v>64</v>
      </c>
      <c r="E33" s="28">
        <v>14</v>
      </c>
      <c r="F33" s="7">
        <v>8</v>
      </c>
      <c r="G33" s="7">
        <v>6</v>
      </c>
      <c r="H33" s="7">
        <v>0</v>
      </c>
      <c r="I33" s="7">
        <v>0</v>
      </c>
      <c r="J33" s="7">
        <v>0</v>
      </c>
      <c r="K33" s="25">
        <v>6</v>
      </c>
      <c r="L33" s="24">
        <v>38</v>
      </c>
      <c r="M33" s="17" t="s">
        <v>186</v>
      </c>
      <c r="N33" s="8"/>
    </row>
    <row r="34" spans="1:14" x14ac:dyDescent="0.25">
      <c r="A34" s="11" t="s">
        <v>88</v>
      </c>
      <c r="B34" s="16" t="s">
        <v>109</v>
      </c>
      <c r="C34" s="9">
        <v>516441517</v>
      </c>
      <c r="D34" s="9" t="s">
        <v>133</v>
      </c>
      <c r="E34" s="28">
        <v>29</v>
      </c>
      <c r="F34" s="7">
        <v>0</v>
      </c>
      <c r="G34" s="7">
        <v>26</v>
      </c>
      <c r="H34" s="7">
        <v>1</v>
      </c>
      <c r="I34" s="7">
        <v>0</v>
      </c>
      <c r="J34" s="7">
        <v>2</v>
      </c>
      <c r="K34" s="25">
        <v>67</v>
      </c>
      <c r="L34" s="24">
        <v>285</v>
      </c>
      <c r="M34" s="17" t="s">
        <v>186</v>
      </c>
      <c r="N34" s="8"/>
    </row>
    <row r="35" spans="1:14" x14ac:dyDescent="0.25">
      <c r="A35" s="11" t="s">
        <v>88</v>
      </c>
      <c r="B35" s="16" t="s">
        <v>109</v>
      </c>
      <c r="C35" s="9">
        <v>1041170254</v>
      </c>
      <c r="D35" s="9" t="s">
        <v>135</v>
      </c>
      <c r="E35" s="28">
        <v>9</v>
      </c>
      <c r="F35" s="7">
        <v>0</v>
      </c>
      <c r="G35" s="7">
        <v>0</v>
      </c>
      <c r="H35" s="7">
        <v>9</v>
      </c>
      <c r="I35" s="7">
        <v>0</v>
      </c>
      <c r="J35" s="7">
        <v>0</v>
      </c>
      <c r="K35" s="25">
        <v>45</v>
      </c>
      <c r="L35" s="24">
        <v>135</v>
      </c>
      <c r="M35" s="17" t="s">
        <v>186</v>
      </c>
      <c r="N35" s="8"/>
    </row>
    <row r="36" spans="1:14" x14ac:dyDescent="0.25">
      <c r="A36" s="11" t="s">
        <v>88</v>
      </c>
      <c r="B36" s="16" t="s">
        <v>109</v>
      </c>
      <c r="C36" s="9">
        <v>334846462</v>
      </c>
      <c r="D36" s="9" t="s">
        <v>158</v>
      </c>
      <c r="E36" s="28">
        <v>47</v>
      </c>
      <c r="F36" s="7">
        <v>0</v>
      </c>
      <c r="G36" s="7">
        <v>41</v>
      </c>
      <c r="H36" s="7">
        <v>4</v>
      </c>
      <c r="I36" s="7">
        <v>0</v>
      </c>
      <c r="J36" s="7">
        <v>2</v>
      </c>
      <c r="K36" s="25">
        <v>97</v>
      </c>
      <c r="L36" s="24">
        <v>405</v>
      </c>
      <c r="M36" s="17" t="s">
        <v>186</v>
      </c>
      <c r="N36" s="8"/>
    </row>
    <row r="37" spans="1:14" x14ac:dyDescent="0.25">
      <c r="A37" s="11" t="s">
        <v>88</v>
      </c>
      <c r="B37" s="16" t="s">
        <v>109</v>
      </c>
      <c r="C37" s="9">
        <v>1092680272</v>
      </c>
      <c r="D37" s="9" t="s">
        <v>72</v>
      </c>
      <c r="E37" s="28">
        <v>26</v>
      </c>
      <c r="F37" s="7">
        <v>0</v>
      </c>
      <c r="G37" s="7">
        <v>22</v>
      </c>
      <c r="H37" s="7">
        <v>2</v>
      </c>
      <c r="I37" s="7">
        <v>2</v>
      </c>
      <c r="J37" s="7">
        <v>0</v>
      </c>
      <c r="K37" s="25">
        <v>50</v>
      </c>
      <c r="L37" s="24">
        <v>200</v>
      </c>
      <c r="M37" s="17" t="s">
        <v>186</v>
      </c>
      <c r="N37" s="8"/>
    </row>
    <row r="38" spans="1:14" x14ac:dyDescent="0.25">
      <c r="A38" s="11" t="s">
        <v>88</v>
      </c>
      <c r="B38" s="16" t="s">
        <v>109</v>
      </c>
      <c r="C38" s="9">
        <v>689257712</v>
      </c>
      <c r="D38" s="9" t="s">
        <v>121</v>
      </c>
      <c r="E38" s="28">
        <v>15</v>
      </c>
      <c r="F38" s="7">
        <v>1</v>
      </c>
      <c r="G38" s="7">
        <v>1</v>
      </c>
      <c r="H38" s="7">
        <v>13</v>
      </c>
      <c r="I38" s="7">
        <v>0</v>
      </c>
      <c r="J38" s="7">
        <v>0</v>
      </c>
      <c r="K38" s="25">
        <v>66</v>
      </c>
      <c r="L38" s="24">
        <v>201</v>
      </c>
      <c r="M38" s="17" t="s">
        <v>186</v>
      </c>
      <c r="N38" s="8"/>
    </row>
    <row r="39" spans="1:14" x14ac:dyDescent="0.25">
      <c r="A39" s="11" t="s">
        <v>88</v>
      </c>
      <c r="B39" s="16" t="s">
        <v>109</v>
      </c>
      <c r="C39" s="9">
        <v>1023770253</v>
      </c>
      <c r="D39" s="9" t="s">
        <v>73</v>
      </c>
      <c r="E39" s="28">
        <v>11</v>
      </c>
      <c r="F39" s="7">
        <v>0</v>
      </c>
      <c r="G39" s="7">
        <v>2</v>
      </c>
      <c r="H39" s="7">
        <v>3</v>
      </c>
      <c r="I39" s="7">
        <v>6</v>
      </c>
      <c r="J39" s="7">
        <v>0</v>
      </c>
      <c r="K39" s="25">
        <v>71</v>
      </c>
      <c r="L39" s="24">
        <v>235</v>
      </c>
      <c r="M39" s="17" t="s">
        <v>186</v>
      </c>
      <c r="N39" s="8"/>
    </row>
    <row r="40" spans="1:14" x14ac:dyDescent="0.25">
      <c r="A40" s="11" t="s">
        <v>88</v>
      </c>
      <c r="B40" s="16" t="s">
        <v>109</v>
      </c>
      <c r="C40" s="9">
        <v>1041184896</v>
      </c>
      <c r="D40" s="9" t="s">
        <v>174</v>
      </c>
      <c r="E40" s="28">
        <v>27</v>
      </c>
      <c r="F40" s="7">
        <v>0</v>
      </c>
      <c r="G40" s="7">
        <v>22</v>
      </c>
      <c r="H40" s="7">
        <v>5</v>
      </c>
      <c r="I40" s="7">
        <v>0</v>
      </c>
      <c r="J40" s="7">
        <v>0</v>
      </c>
      <c r="K40" s="25">
        <v>47</v>
      </c>
      <c r="L40" s="24">
        <v>185</v>
      </c>
      <c r="M40" s="17" t="s">
        <v>186</v>
      </c>
      <c r="N40" s="8"/>
    </row>
    <row r="41" spans="1:14" x14ac:dyDescent="0.25">
      <c r="A41" s="11" t="s">
        <v>88</v>
      </c>
      <c r="B41" s="16" t="s">
        <v>47</v>
      </c>
      <c r="C41" s="9">
        <v>613063847</v>
      </c>
      <c r="D41" s="9" t="s">
        <v>101</v>
      </c>
      <c r="E41" s="28"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25">
        <v>0</v>
      </c>
      <c r="L41" s="24">
        <v>0</v>
      </c>
      <c r="M41" s="17">
        <v>35</v>
      </c>
      <c r="N41" s="8"/>
    </row>
    <row r="42" spans="1:14" x14ac:dyDescent="0.25">
      <c r="A42" s="11" t="s">
        <v>88</v>
      </c>
      <c r="B42" s="16" t="s">
        <v>47</v>
      </c>
      <c r="C42" s="9">
        <v>392077692</v>
      </c>
      <c r="D42" s="9" t="s">
        <v>136</v>
      </c>
      <c r="E42" s="28">
        <v>3</v>
      </c>
      <c r="F42" s="7">
        <v>0</v>
      </c>
      <c r="G42" s="7">
        <v>2</v>
      </c>
      <c r="H42" s="7">
        <v>1</v>
      </c>
      <c r="I42" s="7">
        <v>0</v>
      </c>
      <c r="J42" s="7">
        <v>0</v>
      </c>
      <c r="K42" s="25">
        <v>7</v>
      </c>
      <c r="L42" s="24">
        <v>25</v>
      </c>
      <c r="M42" s="17">
        <v>28</v>
      </c>
      <c r="N42" s="8"/>
    </row>
    <row r="43" spans="1:14" x14ac:dyDescent="0.25">
      <c r="A43" s="11" t="s">
        <v>88</v>
      </c>
      <c r="B43" s="16" t="s">
        <v>109</v>
      </c>
      <c r="C43" s="9">
        <v>1112847542</v>
      </c>
      <c r="D43" s="9" t="s">
        <v>122</v>
      </c>
      <c r="E43" s="28">
        <v>25</v>
      </c>
      <c r="F43" s="7">
        <v>0</v>
      </c>
      <c r="G43" s="7">
        <v>21</v>
      </c>
      <c r="H43" s="7">
        <v>4</v>
      </c>
      <c r="I43" s="7">
        <v>0</v>
      </c>
      <c r="J43" s="7">
        <v>0</v>
      </c>
      <c r="K43" s="25">
        <v>41</v>
      </c>
      <c r="L43" s="24">
        <v>165</v>
      </c>
      <c r="M43" s="17" t="s">
        <v>186</v>
      </c>
      <c r="N43" s="8"/>
    </row>
    <row r="44" spans="1:14" x14ac:dyDescent="0.25">
      <c r="A44" s="11" t="s">
        <v>88</v>
      </c>
      <c r="B44" s="16" t="s">
        <v>47</v>
      </c>
      <c r="C44" s="9">
        <v>683679140</v>
      </c>
      <c r="D44" s="9" t="s">
        <v>137</v>
      </c>
      <c r="E44" s="28">
        <v>4</v>
      </c>
      <c r="F44" s="7">
        <v>0</v>
      </c>
      <c r="G44" s="7">
        <v>2</v>
      </c>
      <c r="H44" s="7">
        <v>2</v>
      </c>
      <c r="I44" s="7">
        <v>0</v>
      </c>
      <c r="J44" s="7">
        <v>0</v>
      </c>
      <c r="K44" s="25">
        <v>12</v>
      </c>
      <c r="L44" s="24">
        <v>40</v>
      </c>
      <c r="M44" s="17">
        <v>23</v>
      </c>
      <c r="N44" s="8"/>
    </row>
    <row r="45" spans="1:14" x14ac:dyDescent="0.25">
      <c r="A45" s="11" t="s">
        <v>88</v>
      </c>
      <c r="B45" s="16" t="s">
        <v>47</v>
      </c>
      <c r="C45" s="9">
        <v>663429510</v>
      </c>
      <c r="D45" s="9" t="s">
        <v>138</v>
      </c>
      <c r="E45" s="28">
        <v>22</v>
      </c>
      <c r="F45" s="7">
        <v>0</v>
      </c>
      <c r="G45" s="7">
        <v>19</v>
      </c>
      <c r="H45" s="7">
        <v>3</v>
      </c>
      <c r="I45" s="7">
        <v>0</v>
      </c>
      <c r="J45" s="7">
        <v>0</v>
      </c>
      <c r="K45" s="25">
        <v>34</v>
      </c>
      <c r="L45" s="24">
        <v>140</v>
      </c>
      <c r="M45" s="17">
        <v>1</v>
      </c>
      <c r="N45" s="8"/>
    </row>
    <row r="46" spans="1:14" x14ac:dyDescent="0.25">
      <c r="A46" s="11" t="s">
        <v>88</v>
      </c>
      <c r="B46" s="16" t="s">
        <v>109</v>
      </c>
      <c r="C46" s="9">
        <v>852051372</v>
      </c>
      <c r="D46" s="9" t="s">
        <v>152</v>
      </c>
      <c r="E46" s="28">
        <v>48</v>
      </c>
      <c r="F46" s="7">
        <v>0</v>
      </c>
      <c r="G46" s="7">
        <v>40</v>
      </c>
      <c r="H46" s="7">
        <v>8</v>
      </c>
      <c r="I46" s="7">
        <v>0</v>
      </c>
      <c r="J46" s="7">
        <v>0</v>
      </c>
      <c r="K46" s="25">
        <v>80</v>
      </c>
      <c r="L46" s="24">
        <v>320</v>
      </c>
      <c r="M46" s="17" t="s">
        <v>186</v>
      </c>
      <c r="N46" s="8"/>
    </row>
    <row r="47" spans="1:14" x14ac:dyDescent="0.25">
      <c r="A47" s="11" t="s">
        <v>110</v>
      </c>
      <c r="B47" s="16" t="s">
        <v>109</v>
      </c>
      <c r="C47" s="9">
        <v>2057192192</v>
      </c>
      <c r="D47" s="9" t="s">
        <v>46</v>
      </c>
      <c r="E47" s="28">
        <v>19</v>
      </c>
      <c r="F47" s="7">
        <v>15</v>
      </c>
      <c r="G47" s="7">
        <v>4</v>
      </c>
      <c r="H47" s="7">
        <v>0</v>
      </c>
      <c r="I47" s="7">
        <v>0</v>
      </c>
      <c r="J47" s="7">
        <v>0</v>
      </c>
      <c r="K47" s="25">
        <v>4</v>
      </c>
      <c r="L47" s="24">
        <v>35</v>
      </c>
      <c r="M47" s="17" t="s">
        <v>186</v>
      </c>
      <c r="N47" s="8"/>
    </row>
    <row r="48" spans="1:14" x14ac:dyDescent="0.25">
      <c r="A48" s="11" t="s">
        <v>88</v>
      </c>
      <c r="B48" s="16" t="s">
        <v>109</v>
      </c>
      <c r="C48" s="9">
        <v>1268142112</v>
      </c>
      <c r="D48" s="9" t="s">
        <v>42</v>
      </c>
      <c r="E48" s="28">
        <v>36</v>
      </c>
      <c r="F48" s="7">
        <v>0</v>
      </c>
      <c r="G48" s="7">
        <v>36</v>
      </c>
      <c r="H48" s="7">
        <v>0</v>
      </c>
      <c r="I48" s="7">
        <v>0</v>
      </c>
      <c r="J48" s="7">
        <v>0</v>
      </c>
      <c r="K48" s="25">
        <v>36</v>
      </c>
      <c r="L48" s="24">
        <v>180</v>
      </c>
      <c r="M48" s="17" t="s">
        <v>186</v>
      </c>
      <c r="N48" s="8"/>
    </row>
    <row r="49" spans="1:14" x14ac:dyDescent="0.25">
      <c r="A49" s="11" t="s">
        <v>88</v>
      </c>
      <c r="B49" s="16" t="s">
        <v>47</v>
      </c>
      <c r="C49" s="9">
        <v>440323888</v>
      </c>
      <c r="D49" s="9" t="s">
        <v>139</v>
      </c>
      <c r="E49" s="28">
        <v>5</v>
      </c>
      <c r="F49" s="7">
        <v>0</v>
      </c>
      <c r="G49" s="7">
        <v>3</v>
      </c>
      <c r="H49" s="7">
        <v>2</v>
      </c>
      <c r="I49" s="7">
        <v>0</v>
      </c>
      <c r="J49" s="7">
        <v>0</v>
      </c>
      <c r="K49" s="25">
        <v>13</v>
      </c>
      <c r="L49" s="24">
        <v>45</v>
      </c>
      <c r="M49" s="17">
        <v>22</v>
      </c>
      <c r="N49" s="8"/>
    </row>
    <row r="50" spans="1:14" x14ac:dyDescent="0.25">
      <c r="A50" s="11" t="s">
        <v>88</v>
      </c>
      <c r="B50" s="16" t="s">
        <v>109</v>
      </c>
      <c r="C50" s="9">
        <v>973732352</v>
      </c>
      <c r="D50" s="9" t="s">
        <v>65</v>
      </c>
      <c r="E50" s="28">
        <v>23</v>
      </c>
      <c r="F50" s="7">
        <v>0</v>
      </c>
      <c r="G50" s="7">
        <v>20</v>
      </c>
      <c r="H50" s="7">
        <v>3</v>
      </c>
      <c r="I50" s="7">
        <v>0</v>
      </c>
      <c r="J50" s="7">
        <v>0</v>
      </c>
      <c r="K50" s="25">
        <v>35</v>
      </c>
      <c r="L50" s="24">
        <v>145</v>
      </c>
      <c r="M50" s="17" t="s">
        <v>186</v>
      </c>
      <c r="N50" s="8"/>
    </row>
    <row r="51" spans="1:14" x14ac:dyDescent="0.25">
      <c r="A51" s="11" t="s">
        <v>88</v>
      </c>
      <c r="B51" s="16" t="s">
        <v>47</v>
      </c>
      <c r="C51" s="9">
        <v>1893169834</v>
      </c>
      <c r="D51" s="9" t="s">
        <v>177</v>
      </c>
      <c r="E51" s="28">
        <v>3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25">
        <v>3</v>
      </c>
      <c r="L51" s="24">
        <v>15</v>
      </c>
      <c r="M51" s="17">
        <v>32</v>
      </c>
      <c r="N51" s="8"/>
    </row>
    <row r="52" spans="1:14" x14ac:dyDescent="0.25">
      <c r="A52" s="11" t="s">
        <v>88</v>
      </c>
      <c r="B52" s="16" t="s">
        <v>109</v>
      </c>
      <c r="C52" s="9">
        <v>869080899</v>
      </c>
      <c r="D52" s="9" t="s">
        <v>93</v>
      </c>
      <c r="E52" s="28">
        <v>36</v>
      </c>
      <c r="F52" s="7">
        <v>0</v>
      </c>
      <c r="G52" s="7">
        <v>36</v>
      </c>
      <c r="H52" s="7">
        <v>0</v>
      </c>
      <c r="I52" s="7">
        <v>0</v>
      </c>
      <c r="J52" s="7">
        <v>0</v>
      </c>
      <c r="K52" s="25">
        <v>36</v>
      </c>
      <c r="L52" s="24">
        <v>180</v>
      </c>
      <c r="M52" s="17" t="s">
        <v>186</v>
      </c>
      <c r="N52" s="8"/>
    </row>
    <row r="53" spans="1:14" x14ac:dyDescent="0.25">
      <c r="A53" s="11" t="s">
        <v>88</v>
      </c>
      <c r="B53" s="16" t="s">
        <v>109</v>
      </c>
      <c r="C53" s="9">
        <v>916473485</v>
      </c>
      <c r="D53" s="9" t="s">
        <v>103</v>
      </c>
      <c r="E53" s="28">
        <v>35</v>
      </c>
      <c r="F53" s="7">
        <v>0</v>
      </c>
      <c r="G53" s="7">
        <v>35</v>
      </c>
      <c r="H53" s="7">
        <v>0</v>
      </c>
      <c r="I53" s="7">
        <v>0</v>
      </c>
      <c r="J53" s="7">
        <v>0</v>
      </c>
      <c r="K53" s="25">
        <v>35</v>
      </c>
      <c r="L53" s="24">
        <v>175</v>
      </c>
      <c r="M53" s="17" t="s">
        <v>186</v>
      </c>
      <c r="N53" s="8"/>
    </row>
    <row r="54" spans="1:14" x14ac:dyDescent="0.25">
      <c r="A54" s="11" t="s">
        <v>88</v>
      </c>
      <c r="B54" s="16" t="s">
        <v>109</v>
      </c>
      <c r="C54" s="9">
        <v>500920417</v>
      </c>
      <c r="D54" s="9" t="s">
        <v>123</v>
      </c>
      <c r="E54" s="28">
        <v>34</v>
      </c>
      <c r="F54" s="7">
        <v>0</v>
      </c>
      <c r="G54" s="7">
        <v>31</v>
      </c>
      <c r="H54" s="7">
        <v>0</v>
      </c>
      <c r="I54" s="7">
        <v>0</v>
      </c>
      <c r="J54" s="7">
        <v>3</v>
      </c>
      <c r="K54" s="25">
        <v>85</v>
      </c>
      <c r="L54" s="24">
        <v>365</v>
      </c>
      <c r="M54" s="17" t="s">
        <v>186</v>
      </c>
      <c r="N54" s="8"/>
    </row>
    <row r="55" spans="1:14" x14ac:dyDescent="0.25">
      <c r="A55" s="11" t="s">
        <v>88</v>
      </c>
      <c r="B55" s="16" t="s">
        <v>109</v>
      </c>
      <c r="C55" s="9">
        <v>376342700</v>
      </c>
      <c r="D55" s="9" t="s">
        <v>140</v>
      </c>
      <c r="E55" s="28">
        <v>32</v>
      </c>
      <c r="F55" s="7">
        <v>0</v>
      </c>
      <c r="G55" s="7">
        <v>29</v>
      </c>
      <c r="H55" s="7">
        <v>1</v>
      </c>
      <c r="I55" s="7">
        <v>0</v>
      </c>
      <c r="J55" s="7">
        <v>2</v>
      </c>
      <c r="K55" s="25">
        <v>70</v>
      </c>
      <c r="L55" s="24">
        <v>300</v>
      </c>
      <c r="M55" s="17" t="s">
        <v>186</v>
      </c>
      <c r="N55" s="8"/>
    </row>
    <row r="56" spans="1:14" x14ac:dyDescent="0.25">
      <c r="A56" s="11" t="s">
        <v>88</v>
      </c>
      <c r="B56" s="16" t="s">
        <v>109</v>
      </c>
      <c r="C56" s="9">
        <v>1915163097</v>
      </c>
      <c r="D56" s="9" t="s">
        <v>78</v>
      </c>
      <c r="E56" s="28">
        <v>35</v>
      </c>
      <c r="F56" s="7">
        <v>0</v>
      </c>
      <c r="G56" s="7">
        <v>35</v>
      </c>
      <c r="H56" s="7">
        <v>0</v>
      </c>
      <c r="I56" s="7">
        <v>0</v>
      </c>
      <c r="J56" s="7">
        <v>0</v>
      </c>
      <c r="K56" s="25">
        <v>35</v>
      </c>
      <c r="L56" s="24">
        <v>175</v>
      </c>
      <c r="M56" s="17" t="s">
        <v>186</v>
      </c>
      <c r="N56" s="8"/>
    </row>
    <row r="57" spans="1:14" x14ac:dyDescent="0.25">
      <c r="A57" s="11" t="s">
        <v>88</v>
      </c>
      <c r="B57" s="16" t="s">
        <v>109</v>
      </c>
      <c r="C57" s="9">
        <v>651360013</v>
      </c>
      <c r="D57" s="9" t="s">
        <v>170</v>
      </c>
      <c r="E57" s="28">
        <v>7</v>
      </c>
      <c r="F57" s="7">
        <v>0</v>
      </c>
      <c r="G57" s="7">
        <v>1</v>
      </c>
      <c r="H57" s="7">
        <v>5</v>
      </c>
      <c r="I57" s="7">
        <v>1</v>
      </c>
      <c r="J57" s="7">
        <v>0</v>
      </c>
      <c r="K57" s="25">
        <v>35</v>
      </c>
      <c r="L57" s="24">
        <v>110</v>
      </c>
      <c r="M57" s="17" t="s">
        <v>186</v>
      </c>
      <c r="N57" s="8"/>
    </row>
    <row r="58" spans="1:14" x14ac:dyDescent="0.25">
      <c r="A58" s="11" t="s">
        <v>88</v>
      </c>
      <c r="B58" s="16" t="s">
        <v>109</v>
      </c>
      <c r="C58" s="9">
        <v>545632943</v>
      </c>
      <c r="D58" s="9" t="s">
        <v>169</v>
      </c>
      <c r="E58" s="28">
        <v>7</v>
      </c>
      <c r="F58" s="7">
        <v>0</v>
      </c>
      <c r="G58" s="7">
        <v>1</v>
      </c>
      <c r="H58" s="7">
        <v>5</v>
      </c>
      <c r="I58" s="7">
        <v>1</v>
      </c>
      <c r="J58" s="7">
        <v>0</v>
      </c>
      <c r="K58" s="25">
        <v>35</v>
      </c>
      <c r="L58" s="24">
        <v>110</v>
      </c>
      <c r="M58" s="17" t="s">
        <v>186</v>
      </c>
      <c r="N58" s="8"/>
    </row>
    <row r="59" spans="1:14" x14ac:dyDescent="0.25">
      <c r="A59" s="11" t="s">
        <v>88</v>
      </c>
      <c r="B59" s="16" t="s">
        <v>109</v>
      </c>
      <c r="C59" s="9">
        <v>997405085</v>
      </c>
      <c r="D59" s="9" t="s">
        <v>161</v>
      </c>
      <c r="E59" s="28">
        <v>36</v>
      </c>
      <c r="F59" s="7">
        <v>0</v>
      </c>
      <c r="G59" s="7">
        <v>36</v>
      </c>
      <c r="H59" s="7">
        <v>0</v>
      </c>
      <c r="I59" s="7">
        <v>0</v>
      </c>
      <c r="J59" s="7">
        <v>0</v>
      </c>
      <c r="K59" s="25">
        <v>36</v>
      </c>
      <c r="L59" s="24">
        <v>180</v>
      </c>
      <c r="M59" s="17" t="s">
        <v>186</v>
      </c>
      <c r="N59" s="8"/>
    </row>
    <row r="60" spans="1:14" x14ac:dyDescent="0.25">
      <c r="A60" s="11" t="s">
        <v>88</v>
      </c>
      <c r="B60" s="16" t="s">
        <v>109</v>
      </c>
      <c r="C60" s="9">
        <v>368989323</v>
      </c>
      <c r="D60" s="9" t="s">
        <v>30</v>
      </c>
      <c r="E60" s="28">
        <v>21</v>
      </c>
      <c r="F60" s="7">
        <v>0</v>
      </c>
      <c r="G60" s="7">
        <v>17</v>
      </c>
      <c r="H60" s="7">
        <v>2</v>
      </c>
      <c r="I60" s="7">
        <v>2</v>
      </c>
      <c r="J60" s="7">
        <v>0</v>
      </c>
      <c r="K60" s="25">
        <v>45</v>
      </c>
      <c r="L60" s="24">
        <v>175</v>
      </c>
      <c r="M60" s="17" t="s">
        <v>186</v>
      </c>
      <c r="N60" s="8"/>
    </row>
    <row r="61" spans="1:14" x14ac:dyDescent="0.25">
      <c r="A61" s="11" t="s">
        <v>110</v>
      </c>
      <c r="B61" s="16" t="s">
        <v>47</v>
      </c>
      <c r="C61" s="9">
        <v>1211883975</v>
      </c>
      <c r="D61" s="9" t="s">
        <v>156</v>
      </c>
      <c r="E61" s="28">
        <v>4</v>
      </c>
      <c r="F61" s="7">
        <v>0</v>
      </c>
      <c r="G61" s="7">
        <v>4</v>
      </c>
      <c r="H61" s="7">
        <v>0</v>
      </c>
      <c r="I61" s="7">
        <v>0</v>
      </c>
      <c r="J61" s="7">
        <v>0</v>
      </c>
      <c r="K61" s="25">
        <v>4</v>
      </c>
      <c r="L61" s="24">
        <v>20</v>
      </c>
      <c r="M61" s="17">
        <v>15</v>
      </c>
      <c r="N61" s="8"/>
    </row>
    <row r="62" spans="1:14" x14ac:dyDescent="0.25">
      <c r="A62" s="11" t="s">
        <v>88</v>
      </c>
      <c r="B62" s="16" t="s">
        <v>47</v>
      </c>
      <c r="C62" s="9">
        <v>1067470462</v>
      </c>
      <c r="D62" s="9" t="s">
        <v>160</v>
      </c>
      <c r="E62" s="28">
        <v>16</v>
      </c>
      <c r="F62" s="7">
        <v>0</v>
      </c>
      <c r="G62" s="7">
        <v>16</v>
      </c>
      <c r="H62" s="7">
        <v>0</v>
      </c>
      <c r="I62" s="7">
        <v>0</v>
      </c>
      <c r="J62" s="7">
        <v>0</v>
      </c>
      <c r="K62" s="25">
        <v>16</v>
      </c>
      <c r="L62" s="24">
        <v>80</v>
      </c>
      <c r="M62" s="17">
        <v>19</v>
      </c>
      <c r="N62" s="8"/>
    </row>
    <row r="63" spans="1:14" x14ac:dyDescent="0.25">
      <c r="A63" s="11" t="s">
        <v>88</v>
      </c>
      <c r="B63" s="16" t="s">
        <v>109</v>
      </c>
      <c r="C63" s="9">
        <v>804415402</v>
      </c>
      <c r="D63" s="9" t="s">
        <v>80</v>
      </c>
      <c r="E63" s="28">
        <v>18</v>
      </c>
      <c r="F63" s="7">
        <v>0</v>
      </c>
      <c r="G63" s="7">
        <v>11</v>
      </c>
      <c r="H63" s="7">
        <v>7</v>
      </c>
      <c r="I63" s="7">
        <v>0</v>
      </c>
      <c r="J63" s="7">
        <v>0</v>
      </c>
      <c r="K63" s="25">
        <v>46</v>
      </c>
      <c r="L63" s="24">
        <v>160</v>
      </c>
      <c r="M63" s="17" t="s">
        <v>186</v>
      </c>
      <c r="N63" s="8"/>
    </row>
    <row r="64" spans="1:14" x14ac:dyDescent="0.25">
      <c r="A64" s="11" t="s">
        <v>88</v>
      </c>
      <c r="B64" s="16" t="s">
        <v>47</v>
      </c>
      <c r="C64" s="9">
        <v>422938512</v>
      </c>
      <c r="D64" s="9" t="s">
        <v>141</v>
      </c>
      <c r="E64" s="28">
        <v>6</v>
      </c>
      <c r="F64" s="7">
        <v>0</v>
      </c>
      <c r="G64" s="7">
        <v>3</v>
      </c>
      <c r="H64" s="7">
        <v>3</v>
      </c>
      <c r="I64" s="7">
        <v>0</v>
      </c>
      <c r="J64" s="7">
        <v>0</v>
      </c>
      <c r="K64" s="25">
        <v>18</v>
      </c>
      <c r="L64" s="24">
        <v>60</v>
      </c>
      <c r="M64" s="17">
        <v>17</v>
      </c>
      <c r="N64" s="8"/>
    </row>
    <row r="65" spans="1:14" x14ac:dyDescent="0.25">
      <c r="A65" s="11" t="s">
        <v>88</v>
      </c>
      <c r="B65" s="16" t="s">
        <v>109</v>
      </c>
      <c r="C65" s="9">
        <v>526268020</v>
      </c>
      <c r="D65" s="9" t="s">
        <v>28</v>
      </c>
      <c r="E65" s="28">
        <v>31</v>
      </c>
      <c r="F65" s="7">
        <v>0</v>
      </c>
      <c r="G65" s="7">
        <v>30</v>
      </c>
      <c r="H65" s="7">
        <v>1</v>
      </c>
      <c r="I65" s="7">
        <v>0</v>
      </c>
      <c r="J65" s="7">
        <v>0</v>
      </c>
      <c r="K65" s="25">
        <v>35</v>
      </c>
      <c r="L65" s="24">
        <v>165</v>
      </c>
      <c r="M65" s="17" t="s">
        <v>186</v>
      </c>
      <c r="N65" s="8"/>
    </row>
    <row r="66" spans="1:14" x14ac:dyDescent="0.25">
      <c r="A66" s="11" t="s">
        <v>88</v>
      </c>
      <c r="B66" s="16" t="s">
        <v>109</v>
      </c>
      <c r="C66" s="9">
        <v>1040942817</v>
      </c>
      <c r="D66" s="9" t="s">
        <v>124</v>
      </c>
      <c r="E66" s="28">
        <v>8</v>
      </c>
      <c r="F66" s="7">
        <v>0</v>
      </c>
      <c r="G66" s="7">
        <v>0</v>
      </c>
      <c r="H66" s="7">
        <v>8</v>
      </c>
      <c r="I66" s="7">
        <v>0</v>
      </c>
      <c r="J66" s="7">
        <v>0</v>
      </c>
      <c r="K66" s="25">
        <v>40</v>
      </c>
      <c r="L66" s="24">
        <v>120</v>
      </c>
      <c r="M66" s="17" t="s">
        <v>186</v>
      </c>
      <c r="N66" s="8"/>
    </row>
    <row r="67" spans="1:14" x14ac:dyDescent="0.25">
      <c r="A67" s="11" t="s">
        <v>88</v>
      </c>
      <c r="B67" s="16" t="s">
        <v>47</v>
      </c>
      <c r="C67" s="9">
        <v>1279827382</v>
      </c>
      <c r="D67" s="9" t="s">
        <v>142</v>
      </c>
      <c r="E67" s="28">
        <v>5</v>
      </c>
      <c r="F67" s="7">
        <v>0</v>
      </c>
      <c r="G67" s="7">
        <v>2</v>
      </c>
      <c r="H67" s="7">
        <v>3</v>
      </c>
      <c r="I67" s="7">
        <v>0</v>
      </c>
      <c r="J67" s="7">
        <v>0</v>
      </c>
      <c r="K67" s="25">
        <v>17</v>
      </c>
      <c r="L67" s="24">
        <v>55</v>
      </c>
      <c r="M67" s="17">
        <v>18</v>
      </c>
      <c r="N67" s="8"/>
    </row>
    <row r="68" spans="1:14" x14ac:dyDescent="0.25">
      <c r="A68" s="11" t="s">
        <v>88</v>
      </c>
      <c r="B68" s="16" t="s">
        <v>47</v>
      </c>
      <c r="C68" s="9">
        <v>807062911</v>
      </c>
      <c r="D68" s="9" t="s">
        <v>143</v>
      </c>
      <c r="E68" s="28">
        <v>0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25">
        <v>0</v>
      </c>
      <c r="L68" s="24">
        <v>0</v>
      </c>
      <c r="M68" s="17">
        <v>35</v>
      </c>
      <c r="N68" s="8"/>
    </row>
    <row r="69" spans="1:14" x14ac:dyDescent="0.25">
      <c r="A69" s="11" t="s">
        <v>88</v>
      </c>
      <c r="B69" s="16" t="s">
        <v>109</v>
      </c>
      <c r="C69" s="9">
        <v>1276495104</v>
      </c>
      <c r="D69" s="9" t="s">
        <v>144</v>
      </c>
      <c r="E69" s="28">
        <v>43</v>
      </c>
      <c r="F69" s="7">
        <v>0</v>
      </c>
      <c r="G69" s="7">
        <v>42</v>
      </c>
      <c r="H69" s="7">
        <v>1</v>
      </c>
      <c r="I69" s="7">
        <v>0</v>
      </c>
      <c r="J69" s="7">
        <v>0</v>
      </c>
      <c r="K69" s="25">
        <v>47</v>
      </c>
      <c r="L69" s="24">
        <v>225</v>
      </c>
      <c r="M69" s="17" t="s">
        <v>186</v>
      </c>
      <c r="N69" s="8"/>
    </row>
    <row r="70" spans="1:14" x14ac:dyDescent="0.25">
      <c r="A70" s="11" t="s">
        <v>88</v>
      </c>
      <c r="B70" s="16" t="s">
        <v>109</v>
      </c>
      <c r="C70" s="9">
        <v>829026210</v>
      </c>
      <c r="D70" s="9" t="s">
        <v>100</v>
      </c>
      <c r="E70" s="28">
        <v>26</v>
      </c>
      <c r="F70" s="7">
        <v>0</v>
      </c>
      <c r="G70" s="7">
        <v>25</v>
      </c>
      <c r="H70" s="7">
        <v>0</v>
      </c>
      <c r="I70" s="7">
        <v>0</v>
      </c>
      <c r="J70" s="7">
        <v>1</v>
      </c>
      <c r="K70" s="25">
        <v>43</v>
      </c>
      <c r="L70" s="24">
        <v>195</v>
      </c>
      <c r="M70" s="17" t="s">
        <v>186</v>
      </c>
      <c r="N70" s="8"/>
    </row>
    <row r="71" spans="1:14" x14ac:dyDescent="0.25">
      <c r="A71" s="11" t="s">
        <v>88</v>
      </c>
      <c r="B71" s="16" t="s">
        <v>47</v>
      </c>
      <c r="C71" s="9">
        <v>1041187189</v>
      </c>
      <c r="D71" s="9" t="s">
        <v>159</v>
      </c>
      <c r="E71" s="28">
        <v>10</v>
      </c>
      <c r="F71" s="7">
        <v>4</v>
      </c>
      <c r="G71" s="7">
        <v>2</v>
      </c>
      <c r="H71" s="7">
        <v>4</v>
      </c>
      <c r="I71" s="7">
        <v>0</v>
      </c>
      <c r="J71" s="7">
        <v>0</v>
      </c>
      <c r="K71" s="25">
        <v>22</v>
      </c>
      <c r="L71" s="24">
        <v>74</v>
      </c>
      <c r="M71" s="17">
        <v>13</v>
      </c>
      <c r="N71" s="8"/>
    </row>
    <row r="72" spans="1:14" x14ac:dyDescent="0.25">
      <c r="A72" s="11" t="s">
        <v>88</v>
      </c>
      <c r="B72" s="16" t="s">
        <v>47</v>
      </c>
      <c r="C72" s="9">
        <v>1040811175</v>
      </c>
      <c r="D72" s="9" t="s">
        <v>145</v>
      </c>
      <c r="E72" s="28">
        <v>13</v>
      </c>
      <c r="F72" s="7">
        <v>0</v>
      </c>
      <c r="G72" s="7">
        <v>10</v>
      </c>
      <c r="H72" s="7">
        <v>3</v>
      </c>
      <c r="I72" s="7">
        <v>0</v>
      </c>
      <c r="J72" s="7">
        <v>0</v>
      </c>
      <c r="K72" s="25">
        <v>25</v>
      </c>
      <c r="L72" s="24">
        <v>95</v>
      </c>
      <c r="M72" s="17">
        <v>10</v>
      </c>
      <c r="N72" s="8"/>
    </row>
    <row r="73" spans="1:14" x14ac:dyDescent="0.25">
      <c r="A73" s="11" t="s">
        <v>88</v>
      </c>
      <c r="B73" s="16" t="s">
        <v>47</v>
      </c>
      <c r="C73" s="9">
        <v>526144427</v>
      </c>
      <c r="D73" s="9" t="s">
        <v>146</v>
      </c>
      <c r="E73" s="28">
        <v>8</v>
      </c>
      <c r="F73" s="7">
        <v>0</v>
      </c>
      <c r="G73" s="7">
        <v>7</v>
      </c>
      <c r="H73" s="7">
        <v>1</v>
      </c>
      <c r="I73" s="7">
        <v>0</v>
      </c>
      <c r="J73" s="7">
        <v>0</v>
      </c>
      <c r="K73" s="25">
        <v>12</v>
      </c>
      <c r="L73" s="24">
        <v>50</v>
      </c>
      <c r="M73" s="17">
        <v>23</v>
      </c>
      <c r="N73" s="8"/>
    </row>
    <row r="74" spans="1:14" x14ac:dyDescent="0.25">
      <c r="A74" s="11" t="s">
        <v>88</v>
      </c>
      <c r="B74" s="16" t="s">
        <v>109</v>
      </c>
      <c r="C74" s="9">
        <v>677616563</v>
      </c>
      <c r="D74" s="9" t="s">
        <v>172</v>
      </c>
      <c r="E74" s="28">
        <v>23</v>
      </c>
      <c r="F74" s="7">
        <v>0</v>
      </c>
      <c r="G74" s="7">
        <v>18</v>
      </c>
      <c r="H74" s="7">
        <v>4</v>
      </c>
      <c r="I74" s="7">
        <v>1</v>
      </c>
      <c r="J74" s="7">
        <v>0</v>
      </c>
      <c r="K74" s="25">
        <v>47</v>
      </c>
      <c r="L74" s="24">
        <v>180</v>
      </c>
      <c r="M74" s="17" t="s">
        <v>186</v>
      </c>
      <c r="N74" s="8"/>
    </row>
    <row r="75" spans="1:14" x14ac:dyDescent="0.25">
      <c r="A75" s="11" t="s">
        <v>88</v>
      </c>
      <c r="B75" s="16" t="s">
        <v>109</v>
      </c>
      <c r="C75" s="9">
        <v>559847999</v>
      </c>
      <c r="D75" s="9" t="s">
        <v>6</v>
      </c>
      <c r="E75" s="28">
        <v>34</v>
      </c>
      <c r="F75" s="7">
        <v>1</v>
      </c>
      <c r="G75" s="7">
        <v>25</v>
      </c>
      <c r="H75" s="7">
        <v>5</v>
      </c>
      <c r="I75" s="7">
        <v>2</v>
      </c>
      <c r="J75" s="7">
        <v>1</v>
      </c>
      <c r="K75" s="25">
        <v>86</v>
      </c>
      <c r="L75" s="24">
        <v>331</v>
      </c>
      <c r="M75" s="17" t="s">
        <v>186</v>
      </c>
      <c r="N75" s="8"/>
    </row>
    <row r="76" spans="1:14" x14ac:dyDescent="0.25">
      <c r="A76" s="11" t="s">
        <v>88</v>
      </c>
      <c r="B76" s="16" t="s">
        <v>47</v>
      </c>
      <c r="C76" s="9">
        <v>391188518</v>
      </c>
      <c r="D76" s="9" t="s">
        <v>147</v>
      </c>
      <c r="E76" s="28">
        <v>5</v>
      </c>
      <c r="F76" s="7">
        <v>0</v>
      </c>
      <c r="G76" s="7">
        <v>2</v>
      </c>
      <c r="H76" s="7">
        <v>3</v>
      </c>
      <c r="I76" s="7">
        <v>0</v>
      </c>
      <c r="J76" s="7">
        <v>0</v>
      </c>
      <c r="K76" s="25">
        <v>17</v>
      </c>
      <c r="L76" s="24">
        <v>55</v>
      </c>
      <c r="M76" s="17">
        <v>18</v>
      </c>
      <c r="N76" s="8"/>
    </row>
    <row r="77" spans="1:14" x14ac:dyDescent="0.25">
      <c r="A77" s="11" t="s">
        <v>88</v>
      </c>
      <c r="B77" s="16" t="s">
        <v>109</v>
      </c>
      <c r="C77" s="9">
        <v>1040607318</v>
      </c>
      <c r="D77" s="9" t="s">
        <v>148</v>
      </c>
      <c r="E77" s="28">
        <v>31</v>
      </c>
      <c r="F77" s="7">
        <v>0</v>
      </c>
      <c r="G77" s="7">
        <v>26</v>
      </c>
      <c r="H77" s="7">
        <v>5</v>
      </c>
      <c r="I77" s="7">
        <v>0</v>
      </c>
      <c r="J77" s="7">
        <v>0</v>
      </c>
      <c r="K77" s="25">
        <v>51</v>
      </c>
      <c r="L77" s="24">
        <v>205</v>
      </c>
      <c r="M77" s="17" t="s">
        <v>186</v>
      </c>
      <c r="N77" s="8"/>
    </row>
    <row r="78" spans="1:14" x14ac:dyDescent="0.25">
      <c r="A78" s="11" t="s">
        <v>88</v>
      </c>
      <c r="B78" s="16" t="s">
        <v>109</v>
      </c>
      <c r="C78" s="9">
        <v>605950874</v>
      </c>
      <c r="D78" s="9" t="s">
        <v>149</v>
      </c>
      <c r="E78" s="28">
        <v>17</v>
      </c>
      <c r="F78" s="7">
        <v>0</v>
      </c>
      <c r="G78" s="7">
        <v>8</v>
      </c>
      <c r="H78" s="7">
        <v>9</v>
      </c>
      <c r="I78" s="7">
        <v>0</v>
      </c>
      <c r="J78" s="7">
        <v>0</v>
      </c>
      <c r="K78" s="25">
        <v>53</v>
      </c>
      <c r="L78" s="24">
        <v>175</v>
      </c>
      <c r="M78" s="17" t="s">
        <v>186</v>
      </c>
      <c r="N78" s="8"/>
    </row>
    <row r="79" spans="1:14" x14ac:dyDescent="0.25">
      <c r="A79" s="11" t="s">
        <v>88</v>
      </c>
      <c r="B79" s="16" t="s">
        <v>109</v>
      </c>
      <c r="C79" s="9">
        <v>1923743214</v>
      </c>
      <c r="D79" s="9" t="s">
        <v>83</v>
      </c>
      <c r="E79" s="28">
        <v>33</v>
      </c>
      <c r="F79" s="7">
        <v>0</v>
      </c>
      <c r="G79" s="7">
        <v>32</v>
      </c>
      <c r="H79" s="7">
        <v>1</v>
      </c>
      <c r="I79" s="7">
        <v>0</v>
      </c>
      <c r="J79" s="7">
        <v>0</v>
      </c>
      <c r="K79" s="25">
        <v>37</v>
      </c>
      <c r="L79" s="24">
        <v>175</v>
      </c>
      <c r="M79" s="17" t="s">
        <v>186</v>
      </c>
      <c r="N79" s="8"/>
    </row>
    <row r="80" spans="1:14" x14ac:dyDescent="0.25">
      <c r="A80" s="11" t="s">
        <v>88</v>
      </c>
      <c r="B80" s="16" t="s">
        <v>109</v>
      </c>
      <c r="C80" s="9">
        <v>658843231</v>
      </c>
      <c r="D80" s="9" t="s">
        <v>74</v>
      </c>
      <c r="E80" s="28">
        <v>10</v>
      </c>
      <c r="F80" s="7">
        <v>0</v>
      </c>
      <c r="G80" s="7">
        <v>3</v>
      </c>
      <c r="H80" s="7">
        <v>3</v>
      </c>
      <c r="I80" s="7">
        <v>0</v>
      </c>
      <c r="J80" s="7">
        <v>4</v>
      </c>
      <c r="K80" s="25">
        <v>90</v>
      </c>
      <c r="L80" s="24">
        <v>340</v>
      </c>
      <c r="M80" s="17" t="s">
        <v>186</v>
      </c>
      <c r="N80" s="8"/>
    </row>
    <row r="81" spans="1:14" x14ac:dyDescent="0.25">
      <c r="A81" s="11" t="s">
        <v>88</v>
      </c>
      <c r="B81" s="16" t="s">
        <v>109</v>
      </c>
      <c r="C81" s="9">
        <v>1913187635</v>
      </c>
      <c r="D81" s="9" t="s">
        <v>84</v>
      </c>
      <c r="E81" s="28">
        <v>35</v>
      </c>
      <c r="F81" s="7">
        <v>0</v>
      </c>
      <c r="G81" s="7">
        <v>35</v>
      </c>
      <c r="H81" s="7">
        <v>0</v>
      </c>
      <c r="I81" s="7">
        <v>0</v>
      </c>
      <c r="J81" s="7">
        <v>0</v>
      </c>
      <c r="K81" s="25">
        <v>35</v>
      </c>
      <c r="L81" s="24">
        <v>175</v>
      </c>
      <c r="M81" s="17" t="s">
        <v>186</v>
      </c>
      <c r="N81" s="8"/>
    </row>
    <row r="82" spans="1:14" x14ac:dyDescent="0.25">
      <c r="A82" s="11" t="s">
        <v>88</v>
      </c>
      <c r="B82" s="16" t="s">
        <v>109</v>
      </c>
      <c r="C82" s="9">
        <v>1919512898</v>
      </c>
      <c r="D82" s="9" t="s">
        <v>182</v>
      </c>
      <c r="E82" s="28">
        <v>11</v>
      </c>
      <c r="F82" s="7">
        <v>0</v>
      </c>
      <c r="G82" s="7">
        <v>5</v>
      </c>
      <c r="H82" s="7">
        <v>6</v>
      </c>
      <c r="I82" s="7">
        <v>0</v>
      </c>
      <c r="J82" s="7">
        <v>0</v>
      </c>
      <c r="K82" s="25">
        <v>35</v>
      </c>
      <c r="L82" s="24">
        <v>115</v>
      </c>
      <c r="M82" s="17" t="s">
        <v>186</v>
      </c>
      <c r="N82" s="8"/>
    </row>
    <row r="83" spans="1:14" x14ac:dyDescent="0.25">
      <c r="A83" s="11" t="s">
        <v>88</v>
      </c>
      <c r="B83" s="16" t="s">
        <v>47</v>
      </c>
      <c r="C83" s="9">
        <v>395091349</v>
      </c>
      <c r="D83" s="9" t="s">
        <v>183</v>
      </c>
      <c r="E83" s="28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25">
        <v>0</v>
      </c>
      <c r="L83" s="24">
        <v>0</v>
      </c>
      <c r="M83" s="17">
        <v>35</v>
      </c>
      <c r="N83" s="8"/>
    </row>
    <row r="84" spans="1:14" x14ac:dyDescent="0.25">
      <c r="A84" s="11" t="s">
        <v>88</v>
      </c>
      <c r="B84" s="16" t="s">
        <v>109</v>
      </c>
      <c r="C84" s="9">
        <v>919665444</v>
      </c>
      <c r="D84" s="9" t="s">
        <v>180</v>
      </c>
      <c r="E84" s="28">
        <v>27</v>
      </c>
      <c r="F84" s="7">
        <v>0</v>
      </c>
      <c r="G84" s="7">
        <v>26</v>
      </c>
      <c r="H84" s="7">
        <v>0</v>
      </c>
      <c r="I84" s="7">
        <v>1</v>
      </c>
      <c r="J84" s="7">
        <v>0</v>
      </c>
      <c r="K84" s="25">
        <v>35</v>
      </c>
      <c r="L84" s="24">
        <v>160</v>
      </c>
      <c r="M84" s="17" t="s">
        <v>186</v>
      </c>
      <c r="N84" s="8"/>
    </row>
    <row r="85" spans="1:14" x14ac:dyDescent="0.25">
      <c r="A85" s="11" t="s">
        <v>88</v>
      </c>
      <c r="B85" s="16" t="s">
        <v>109</v>
      </c>
      <c r="C85" s="9">
        <v>640955210</v>
      </c>
      <c r="D85" s="9" t="s">
        <v>175</v>
      </c>
      <c r="E85" s="28">
        <v>53</v>
      </c>
      <c r="F85" s="7">
        <v>0</v>
      </c>
      <c r="G85" s="7">
        <v>48</v>
      </c>
      <c r="H85" s="7">
        <v>5</v>
      </c>
      <c r="I85" s="7">
        <v>0</v>
      </c>
      <c r="J85" s="7">
        <v>0</v>
      </c>
      <c r="K85" s="25">
        <v>73</v>
      </c>
      <c r="L85" s="24">
        <v>315</v>
      </c>
      <c r="M85" s="17" t="s">
        <v>186</v>
      </c>
      <c r="N85" s="8"/>
    </row>
    <row r="86" spans="1:14" x14ac:dyDescent="0.25">
      <c r="A86" s="11" t="s">
        <v>88</v>
      </c>
      <c r="B86" s="16" t="s">
        <v>109</v>
      </c>
      <c r="C86" s="9">
        <v>424972261</v>
      </c>
      <c r="D86" s="9" t="s">
        <v>150</v>
      </c>
      <c r="E86" s="28">
        <v>29</v>
      </c>
      <c r="F86" s="7">
        <v>0</v>
      </c>
      <c r="G86" s="7">
        <v>25</v>
      </c>
      <c r="H86" s="7">
        <v>2</v>
      </c>
      <c r="I86" s="7">
        <v>0</v>
      </c>
      <c r="J86" s="7">
        <v>2</v>
      </c>
      <c r="K86" s="25">
        <v>71</v>
      </c>
      <c r="L86" s="24">
        <v>295</v>
      </c>
      <c r="M86" s="17" t="s">
        <v>186</v>
      </c>
      <c r="N86" s="8"/>
    </row>
    <row r="87" spans="1:14" x14ac:dyDescent="0.25">
      <c r="A87" s="11" t="s">
        <v>88</v>
      </c>
      <c r="B87" s="16" t="s">
        <v>109</v>
      </c>
      <c r="C87" s="9">
        <v>940947273</v>
      </c>
      <c r="D87" s="9" t="s">
        <v>166</v>
      </c>
      <c r="E87" s="28">
        <v>31</v>
      </c>
      <c r="F87" s="7">
        <v>0</v>
      </c>
      <c r="G87" s="7">
        <v>28</v>
      </c>
      <c r="H87" s="7">
        <v>3</v>
      </c>
      <c r="I87" s="7">
        <v>0</v>
      </c>
      <c r="J87" s="7">
        <v>0</v>
      </c>
      <c r="K87" s="25">
        <v>43</v>
      </c>
      <c r="L87" s="24">
        <v>185</v>
      </c>
      <c r="M87" s="17" t="s">
        <v>186</v>
      </c>
      <c r="N87" s="8"/>
    </row>
    <row r="88" spans="1:14" x14ac:dyDescent="0.25">
      <c r="A88" s="11" t="s">
        <v>88</v>
      </c>
      <c r="B88" s="16" t="s">
        <v>109</v>
      </c>
      <c r="C88" s="9">
        <v>710619616</v>
      </c>
      <c r="D88" s="9" t="s">
        <v>125</v>
      </c>
      <c r="E88" s="28">
        <v>12</v>
      </c>
      <c r="F88" s="7">
        <v>0</v>
      </c>
      <c r="G88" s="7">
        <v>2</v>
      </c>
      <c r="H88" s="7">
        <v>8</v>
      </c>
      <c r="I88" s="7">
        <v>2</v>
      </c>
      <c r="J88" s="7">
        <v>0</v>
      </c>
      <c r="K88" s="25">
        <v>60</v>
      </c>
      <c r="L88" s="24">
        <v>190</v>
      </c>
      <c r="M88" s="17" t="s">
        <v>186</v>
      </c>
      <c r="N88" s="8"/>
    </row>
    <row r="89" spans="1:14" x14ac:dyDescent="0.25">
      <c r="A89" s="11" t="s">
        <v>88</v>
      </c>
      <c r="B89" s="16" t="s">
        <v>109</v>
      </c>
      <c r="C89" s="9">
        <v>1294894373</v>
      </c>
      <c r="D89" s="9" t="s">
        <v>163</v>
      </c>
      <c r="E89" s="28">
        <v>13</v>
      </c>
      <c r="F89" s="7">
        <v>0</v>
      </c>
      <c r="G89" s="7">
        <v>7</v>
      </c>
      <c r="H89" s="7">
        <v>6</v>
      </c>
      <c r="I89" s="7">
        <v>0</v>
      </c>
      <c r="J89" s="7">
        <v>0</v>
      </c>
      <c r="K89" s="25">
        <v>37</v>
      </c>
      <c r="L89" s="24">
        <v>125</v>
      </c>
      <c r="M89" s="17" t="s">
        <v>186</v>
      </c>
      <c r="N89" s="8"/>
    </row>
    <row r="90" spans="1:14" x14ac:dyDescent="0.25">
      <c r="A90" s="11" t="s">
        <v>88</v>
      </c>
      <c r="B90" s="16" t="s">
        <v>109</v>
      </c>
      <c r="C90" s="9">
        <v>989087967</v>
      </c>
      <c r="D90" s="9" t="s">
        <v>162</v>
      </c>
      <c r="E90" s="28">
        <v>10</v>
      </c>
      <c r="F90" s="7">
        <v>0</v>
      </c>
      <c r="G90" s="7">
        <v>2</v>
      </c>
      <c r="H90" s="7">
        <v>8</v>
      </c>
      <c r="I90" s="7">
        <v>0</v>
      </c>
      <c r="J90" s="7">
        <v>0</v>
      </c>
      <c r="K90" s="25">
        <v>42</v>
      </c>
      <c r="L90" s="24">
        <v>130</v>
      </c>
      <c r="M90" s="17" t="s">
        <v>186</v>
      </c>
      <c r="N90" s="8"/>
    </row>
    <row r="91" spans="1:14" x14ac:dyDescent="0.25">
      <c r="A91" s="11" t="s">
        <v>88</v>
      </c>
      <c r="B91" s="16" t="s">
        <v>109</v>
      </c>
      <c r="C91" s="9">
        <v>1769834648</v>
      </c>
      <c r="D91" s="9" t="s">
        <v>36</v>
      </c>
      <c r="E91" s="28">
        <v>36</v>
      </c>
      <c r="F91" s="7">
        <v>0</v>
      </c>
      <c r="G91" s="7">
        <v>36</v>
      </c>
      <c r="H91" s="7">
        <v>0</v>
      </c>
      <c r="I91" s="7">
        <v>0</v>
      </c>
      <c r="J91" s="7">
        <v>0</v>
      </c>
      <c r="K91" s="25">
        <v>36</v>
      </c>
      <c r="L91" s="24">
        <v>180</v>
      </c>
      <c r="M91" s="17" t="s">
        <v>186</v>
      </c>
      <c r="N91" s="8"/>
    </row>
    <row r="92" spans="1:14" x14ac:dyDescent="0.25">
      <c r="A92" s="11" t="s">
        <v>88</v>
      </c>
      <c r="B92" s="16" t="s">
        <v>47</v>
      </c>
      <c r="C92" s="9">
        <v>927459756</v>
      </c>
      <c r="D92" s="9" t="s">
        <v>86</v>
      </c>
      <c r="E92" s="28">
        <v>10</v>
      </c>
      <c r="F92" s="7">
        <v>0</v>
      </c>
      <c r="G92" s="7">
        <v>7</v>
      </c>
      <c r="H92" s="7">
        <v>2</v>
      </c>
      <c r="I92" s="7">
        <v>1</v>
      </c>
      <c r="J92" s="7">
        <v>0</v>
      </c>
      <c r="K92" s="25">
        <v>26</v>
      </c>
      <c r="L92" s="24">
        <v>95</v>
      </c>
      <c r="M92" s="17">
        <v>9</v>
      </c>
      <c r="N92" s="8"/>
    </row>
    <row r="93" spans="1:14" x14ac:dyDescent="0.25">
      <c r="A93" s="11" t="s">
        <v>88</v>
      </c>
      <c r="B93" s="16" t="s">
        <v>109</v>
      </c>
      <c r="C93" s="9">
        <v>1467795273</v>
      </c>
      <c r="D93" s="9" t="s">
        <v>38</v>
      </c>
      <c r="E93" s="28">
        <v>15</v>
      </c>
      <c r="F93" s="7">
        <v>0</v>
      </c>
      <c r="G93" s="7">
        <v>10</v>
      </c>
      <c r="H93" s="7">
        <v>5</v>
      </c>
      <c r="I93" s="7">
        <v>0</v>
      </c>
      <c r="J93" s="7">
        <v>0</v>
      </c>
      <c r="K93" s="25">
        <v>35</v>
      </c>
      <c r="L93" s="24">
        <v>125</v>
      </c>
      <c r="M93" s="17" t="s">
        <v>186</v>
      </c>
      <c r="N93" s="8"/>
    </row>
    <row r="94" spans="1:14" x14ac:dyDescent="0.25">
      <c r="A94" s="11" t="s">
        <v>110</v>
      </c>
      <c r="B94" s="16" t="s">
        <v>109</v>
      </c>
      <c r="C94" s="9">
        <v>1835847308</v>
      </c>
      <c r="D94" s="9" t="s">
        <v>173</v>
      </c>
      <c r="E94" s="28">
        <v>66</v>
      </c>
      <c r="F94" s="7">
        <v>66</v>
      </c>
      <c r="G94" s="7">
        <v>0</v>
      </c>
      <c r="H94" s="7">
        <v>0</v>
      </c>
      <c r="I94" s="7">
        <v>0</v>
      </c>
      <c r="J94" s="7">
        <v>0</v>
      </c>
      <c r="K94" s="25">
        <v>0</v>
      </c>
      <c r="L94" s="24">
        <v>66</v>
      </c>
      <c r="M94" s="17" t="s">
        <v>186</v>
      </c>
      <c r="N94" s="8"/>
    </row>
    <row r="95" spans="1:14" x14ac:dyDescent="0.25">
      <c r="A95" s="11" t="s">
        <v>88</v>
      </c>
      <c r="B95" s="16" t="s">
        <v>109</v>
      </c>
      <c r="C95" s="9">
        <v>1268693750</v>
      </c>
      <c r="D95" s="9" t="s">
        <v>157</v>
      </c>
      <c r="E95" s="28">
        <v>35</v>
      </c>
      <c r="F95" s="7">
        <v>0</v>
      </c>
      <c r="G95" s="7">
        <v>35</v>
      </c>
      <c r="H95" s="7">
        <v>0</v>
      </c>
      <c r="I95" s="7">
        <v>0</v>
      </c>
      <c r="J95" s="7">
        <v>0</v>
      </c>
      <c r="K95" s="25">
        <v>35</v>
      </c>
      <c r="L95" s="24">
        <v>175</v>
      </c>
      <c r="M95" s="17" t="s">
        <v>186</v>
      </c>
      <c r="N95" s="8"/>
    </row>
    <row r="96" spans="1:14" x14ac:dyDescent="0.25">
      <c r="A96" s="11" t="s">
        <v>88</v>
      </c>
      <c r="B96" s="16" t="s">
        <v>109</v>
      </c>
      <c r="C96" s="9">
        <v>821134729</v>
      </c>
      <c r="D96" s="9" t="s">
        <v>153</v>
      </c>
      <c r="E96" s="28">
        <v>37</v>
      </c>
      <c r="F96" s="7">
        <v>0</v>
      </c>
      <c r="G96" s="7">
        <v>37</v>
      </c>
      <c r="H96" s="7">
        <v>0</v>
      </c>
      <c r="I96" s="7">
        <v>0</v>
      </c>
      <c r="J96" s="7">
        <v>0</v>
      </c>
      <c r="K96" s="25">
        <v>37</v>
      </c>
      <c r="L96" s="24">
        <v>185</v>
      </c>
      <c r="M96" s="17" t="s">
        <v>186</v>
      </c>
      <c r="N96" s="8"/>
    </row>
    <row r="97" spans="1:14" x14ac:dyDescent="0.25">
      <c r="A97" s="11" t="s">
        <v>88</v>
      </c>
      <c r="B97" s="16" t="s">
        <v>109</v>
      </c>
      <c r="C97" s="9">
        <v>777343597</v>
      </c>
      <c r="D97" s="9" t="s">
        <v>113</v>
      </c>
      <c r="E97" s="28">
        <v>26</v>
      </c>
      <c r="F97" s="7">
        <v>3</v>
      </c>
      <c r="G97" s="7">
        <v>20</v>
      </c>
      <c r="H97" s="7">
        <v>3</v>
      </c>
      <c r="I97" s="7">
        <v>0</v>
      </c>
      <c r="J97" s="7">
        <v>0</v>
      </c>
      <c r="K97" s="25">
        <v>35</v>
      </c>
      <c r="L97" s="24">
        <v>148</v>
      </c>
      <c r="M97" s="17" t="s">
        <v>186</v>
      </c>
      <c r="N97" s="8"/>
    </row>
    <row r="98" spans="1:14" x14ac:dyDescent="0.25">
      <c r="A98" s="11" t="s">
        <v>88</v>
      </c>
      <c r="B98" s="16" t="s">
        <v>109</v>
      </c>
      <c r="C98" s="9">
        <v>701806212</v>
      </c>
      <c r="D98" s="9" t="s">
        <v>114</v>
      </c>
      <c r="E98" s="28">
        <v>32</v>
      </c>
      <c r="F98" s="7">
        <v>0</v>
      </c>
      <c r="G98" s="7">
        <v>25</v>
      </c>
      <c r="H98" s="7">
        <v>6</v>
      </c>
      <c r="I98" s="7">
        <v>1</v>
      </c>
      <c r="J98" s="7">
        <v>0</v>
      </c>
      <c r="K98" s="25">
        <v>64</v>
      </c>
      <c r="L98" s="24">
        <v>245</v>
      </c>
      <c r="M98" s="17" t="s">
        <v>186</v>
      </c>
      <c r="N98" s="8"/>
    </row>
    <row r="99" spans="1:14" x14ac:dyDescent="0.25">
      <c r="A99" s="11" t="s">
        <v>110</v>
      </c>
      <c r="B99" s="16" t="s">
        <v>109</v>
      </c>
      <c r="C99" s="9">
        <v>1264043363</v>
      </c>
      <c r="D99" s="9" t="s">
        <v>154</v>
      </c>
      <c r="E99" s="28">
        <v>7</v>
      </c>
      <c r="F99" s="7">
        <v>0</v>
      </c>
      <c r="G99" s="7">
        <v>0</v>
      </c>
      <c r="H99" s="7">
        <v>7</v>
      </c>
      <c r="I99" s="7">
        <v>0</v>
      </c>
      <c r="J99" s="7">
        <v>0</v>
      </c>
      <c r="K99" s="25">
        <v>35</v>
      </c>
      <c r="L99" s="24">
        <v>105</v>
      </c>
      <c r="M99" s="17" t="s">
        <v>186</v>
      </c>
      <c r="N99" s="8"/>
    </row>
    <row r="100" spans="1:14" x14ac:dyDescent="0.25">
      <c r="A100" s="11" t="s">
        <v>88</v>
      </c>
      <c r="B100" s="16" t="s">
        <v>109</v>
      </c>
      <c r="C100" s="9">
        <v>1917368618</v>
      </c>
      <c r="D100" s="9" t="s">
        <v>39</v>
      </c>
      <c r="E100" s="28">
        <v>35</v>
      </c>
      <c r="F100" s="7">
        <v>0</v>
      </c>
      <c r="G100" s="7">
        <v>35</v>
      </c>
      <c r="H100" s="7">
        <v>0</v>
      </c>
      <c r="I100" s="7">
        <v>0</v>
      </c>
      <c r="J100" s="7">
        <v>0</v>
      </c>
      <c r="K100" s="25">
        <v>35</v>
      </c>
      <c r="L100" s="24">
        <v>175</v>
      </c>
      <c r="M100" s="17" t="s">
        <v>186</v>
      </c>
      <c r="N100" s="8"/>
    </row>
    <row r="101" spans="1:14" x14ac:dyDescent="0.25">
      <c r="A101" s="11" t="s">
        <v>88</v>
      </c>
      <c r="B101" s="16" t="s">
        <v>47</v>
      </c>
      <c r="C101" s="9">
        <v>1806182451</v>
      </c>
      <c r="D101" s="9" t="s">
        <v>40</v>
      </c>
      <c r="E101" s="28">
        <v>26</v>
      </c>
      <c r="F101" s="7">
        <v>0</v>
      </c>
      <c r="G101" s="7">
        <v>26</v>
      </c>
      <c r="H101" s="7">
        <v>0</v>
      </c>
      <c r="I101" s="7">
        <v>0</v>
      </c>
      <c r="J101" s="7">
        <v>0</v>
      </c>
      <c r="K101" s="25">
        <v>26</v>
      </c>
      <c r="L101" s="24">
        <v>130</v>
      </c>
      <c r="M101" s="17">
        <v>9</v>
      </c>
      <c r="N101" s="8"/>
    </row>
    <row r="102" spans="1:14" x14ac:dyDescent="0.25">
      <c r="A102" s="11" t="s">
        <v>88</v>
      </c>
      <c r="B102" s="16" t="s">
        <v>109</v>
      </c>
      <c r="C102" s="9">
        <v>1727138266</v>
      </c>
      <c r="D102" s="9" t="s">
        <v>41</v>
      </c>
      <c r="E102" s="28">
        <v>11</v>
      </c>
      <c r="F102" s="7">
        <v>0</v>
      </c>
      <c r="G102" s="7">
        <v>5</v>
      </c>
      <c r="H102" s="7">
        <v>6</v>
      </c>
      <c r="I102" s="7">
        <v>0</v>
      </c>
      <c r="J102" s="7">
        <v>0</v>
      </c>
      <c r="K102" s="25">
        <v>35</v>
      </c>
      <c r="L102" s="24">
        <v>115</v>
      </c>
      <c r="M102" s="17" t="s">
        <v>186</v>
      </c>
      <c r="N102" s="8"/>
    </row>
    <row r="103" spans="1:14" x14ac:dyDescent="0.25">
      <c r="A103" s="11" t="s">
        <v>110</v>
      </c>
      <c r="B103" s="16" t="s">
        <v>109</v>
      </c>
      <c r="C103" s="9">
        <v>1931591455</v>
      </c>
      <c r="D103" s="9" t="s">
        <v>115</v>
      </c>
      <c r="E103" s="28">
        <v>11</v>
      </c>
      <c r="F103" s="7">
        <v>5</v>
      </c>
      <c r="G103" s="7">
        <v>6</v>
      </c>
      <c r="H103" s="7">
        <v>0</v>
      </c>
      <c r="I103" s="7">
        <v>0</v>
      </c>
      <c r="J103" s="7">
        <v>0</v>
      </c>
      <c r="K103" s="25">
        <v>6</v>
      </c>
      <c r="L103" s="24">
        <v>35</v>
      </c>
      <c r="M103" s="17" t="s">
        <v>186</v>
      </c>
      <c r="N103" s="8"/>
    </row>
    <row r="104" spans="1:14" x14ac:dyDescent="0.25">
      <c r="A104" s="11" t="s">
        <v>110</v>
      </c>
      <c r="B104" s="16" t="s">
        <v>47</v>
      </c>
      <c r="C104" s="9">
        <v>1367372226</v>
      </c>
      <c r="D104" s="9" t="s">
        <v>94</v>
      </c>
      <c r="E104" s="28">
        <v>3</v>
      </c>
      <c r="F104" s="7">
        <v>0</v>
      </c>
      <c r="G104" s="7">
        <v>3</v>
      </c>
      <c r="H104" s="7">
        <v>0</v>
      </c>
      <c r="I104" s="7">
        <v>0</v>
      </c>
      <c r="J104" s="7">
        <v>0</v>
      </c>
      <c r="K104" s="25">
        <v>3</v>
      </c>
      <c r="L104" s="24">
        <v>15</v>
      </c>
      <c r="M104" s="17">
        <v>20</v>
      </c>
    </row>
    <row r="105" spans="1:14" x14ac:dyDescent="0.25">
      <c r="A105" s="11" t="s">
        <v>88</v>
      </c>
      <c r="B105" s="16" t="s">
        <v>47</v>
      </c>
      <c r="C105" s="9">
        <v>566390589</v>
      </c>
      <c r="D105" s="9" t="s">
        <v>102</v>
      </c>
      <c r="E105" s="28">
        <v>22</v>
      </c>
      <c r="F105" s="7">
        <v>0</v>
      </c>
      <c r="G105" s="7">
        <v>21</v>
      </c>
      <c r="H105" s="7">
        <v>1</v>
      </c>
      <c r="I105" s="7">
        <v>0</v>
      </c>
      <c r="J105" s="7">
        <v>0</v>
      </c>
      <c r="K105" s="25">
        <v>26</v>
      </c>
      <c r="L105" s="24">
        <v>120</v>
      </c>
      <c r="M105" s="17">
        <v>9</v>
      </c>
    </row>
    <row r="106" spans="1:14" x14ac:dyDescent="0.25">
      <c r="A106" s="11" t="s">
        <v>88</v>
      </c>
      <c r="B106" s="16" t="s">
        <v>109</v>
      </c>
      <c r="C106" s="9">
        <v>884346374</v>
      </c>
      <c r="D106" s="9" t="s">
        <v>126</v>
      </c>
      <c r="E106" s="28">
        <v>41</v>
      </c>
      <c r="F106" s="7">
        <v>1</v>
      </c>
      <c r="G106" s="7">
        <v>30</v>
      </c>
      <c r="H106" s="7">
        <v>3</v>
      </c>
      <c r="I106" s="7">
        <v>1</v>
      </c>
      <c r="J106" s="7">
        <v>6</v>
      </c>
      <c r="K106" s="25">
        <v>162</v>
      </c>
      <c r="L106" s="24">
        <v>646</v>
      </c>
      <c r="M106" s="17" t="s">
        <v>186</v>
      </c>
    </row>
  </sheetData>
  <conditionalFormatting sqref="B5:C59 B60:B106">
    <cfRule type="beginsWith" dxfId="4" priority="3" operator="beginsWith" text="Cumplio">
      <formula>LEFT(B5,LEN("Cumplio"))="Cumplio"</formula>
    </cfRule>
    <cfRule type="containsText" dxfId="3" priority="4" operator="containsText" text="No cumplio">
      <formula>NOT(ISERROR(SEARCH("No cumplio",B5)))</formula>
    </cfRule>
  </conditionalFormatting>
  <conditionalFormatting sqref="C1:D1048576">
    <cfRule type="duplicateValues" dxfId="2" priority="5"/>
  </conditionalFormatting>
  <conditionalFormatting sqref="M5:M106">
    <cfRule type="cellIs" dxfId="1" priority="1" operator="between">
      <formula>1</formula>
      <formula>9999999</formula>
    </cfRule>
    <cfRule type="containsText" dxfId="0" priority="2" operator="containsText" text="No debe">
      <formula>NOT(ISERROR(SEARCH("No debe",M5)))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Stats</vt:lpstr>
      <vt:lpstr>Top 10</vt:lpstr>
      <vt:lpstr>Caza</vt:lpstr>
      <vt:lpstr>Ranking Evento</vt:lpstr>
      <vt:lpstr>Caza lvl 1</vt:lpstr>
      <vt:lpstr>Avisos</vt:lpstr>
      <vt:lpstr>Numeros</vt:lpstr>
      <vt:lpstr>FDG</vt:lpstr>
      <vt:lpstr>10-05-2026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</dc:creator>
  <cp:lastModifiedBy>Hugo Blanco</cp:lastModifiedBy>
  <cp:lastPrinted>2025-01-18T02:02:14Z</cp:lastPrinted>
  <dcterms:created xsi:type="dcterms:W3CDTF">2022-07-05T21:39:51Z</dcterms:created>
  <dcterms:modified xsi:type="dcterms:W3CDTF">2026-05-19T15:37:14Z</dcterms:modified>
</cp:coreProperties>
</file>