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Node\Bot-Wsp-TH\media\excel\"/>
    </mc:Choice>
  </mc:AlternateContent>
  <xr:revisionPtr revIDLastSave="0" documentId="13_ncr:1_{980EDEC7-7BD1-4DF5-A7E0-4340CF3A9A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za" sheetId="3" r:id="rId1"/>
    <sheet name="Caza lvl 1" sheetId="5" r:id="rId2"/>
    <sheet name="Ranking Evento" sheetId="4" r:id="rId3"/>
    <sheet name="FDG" sheetId="9" r:id="rId4"/>
    <sheet name="Avisos" sheetId="6" r:id="rId5"/>
    <sheet name="Numeros" sheetId="7" r:id="rId6"/>
  </sheets>
  <definedNames>
    <definedName name="_xlnm._FilterDatabase" localSheetId="4" hidden="1">Avisos!A1:S4</definedName>
    <definedName name="_xlnm._FilterDatabase" localSheetId="0" hidden="1">Caza!$A$3:$M$106</definedName>
    <definedName name="_xlnm._FilterDatabase" localSheetId="2" hidden="1">'Ranking Evento'!B1:I97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3" l="1"/>
  <c r="E4" i="3"/>
  <c r="D60" i="4"/>
  <c r="D74" i="4"/>
  <c r="D81" i="4"/>
  <c r="D83" i="4"/>
  <c r="D84" i="4"/>
  <c r="D95" i="4"/>
  <c r="D97" i="4"/>
  <c r="D99" i="4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J1" i="3"/>
  <c r="I1" i="3"/>
  <c r="H1" i="3"/>
  <c r="G1" i="3"/>
  <c r="F1" i="3"/>
  <c r="K8" i="3"/>
  <c r="L8" i="3"/>
  <c r="K23" i="3"/>
  <c r="L23" i="3"/>
  <c r="K5" i="3"/>
  <c r="D104" i="4" s="1"/>
  <c r="I104" i="4" s="1"/>
  <c r="L5" i="3"/>
  <c r="A8" i="3"/>
  <c r="A23" i="3"/>
  <c r="A5" i="3"/>
  <c r="B2" i="7"/>
  <c r="B5" i="7"/>
  <c r="B6" i="7"/>
  <c r="B7" i="7"/>
  <c r="B8" i="7"/>
  <c r="B10" i="7"/>
  <c r="B11" i="7"/>
  <c r="B12" i="7"/>
  <c r="B13" i="7"/>
  <c r="B14" i="7"/>
  <c r="B15" i="7"/>
  <c r="B17" i="7"/>
  <c r="B18" i="7"/>
  <c r="B19" i="7"/>
  <c r="B21" i="7"/>
  <c r="B24" i="7"/>
  <c r="B25" i="7"/>
  <c r="B31" i="7"/>
  <c r="B33" i="7"/>
  <c r="B38" i="7"/>
  <c r="B40" i="7"/>
  <c r="B41" i="7"/>
  <c r="B42" i="7"/>
  <c r="B44" i="7"/>
  <c r="B49" i="7"/>
  <c r="B51" i="7"/>
  <c r="B53" i="7"/>
  <c r="B54" i="7"/>
  <c r="B55" i="7"/>
  <c r="B56" i="7"/>
  <c r="B58" i="7"/>
  <c r="B59" i="7"/>
  <c r="B60" i="7"/>
  <c r="B61" i="7"/>
  <c r="B62" i="7"/>
  <c r="B64" i="7"/>
  <c r="B65" i="7"/>
  <c r="B66" i="7"/>
  <c r="B67" i="7"/>
  <c r="B68" i="7"/>
  <c r="B73" i="7"/>
  <c r="B75" i="7"/>
  <c r="B76" i="7"/>
  <c r="B77" i="7"/>
  <c r="B79" i="7"/>
  <c r="B80" i="7"/>
  <c r="B81" i="7"/>
  <c r="B82" i="7"/>
  <c r="B88" i="7"/>
  <c r="B89" i="7"/>
  <c r="B90" i="7"/>
  <c r="B91" i="7"/>
  <c r="B95" i="7"/>
  <c r="B96" i="7"/>
  <c r="B98" i="7"/>
  <c r="B99" i="7"/>
  <c r="B101" i="7"/>
  <c r="B35" i="7"/>
  <c r="B37" i="7"/>
  <c r="B78" i="7"/>
  <c r="B22" i="7"/>
  <c r="B72" i="7"/>
  <c r="B20" i="7"/>
  <c r="B29" i="7"/>
  <c r="B103" i="7"/>
  <c r="B3" i="7"/>
  <c r="B4" i="7"/>
  <c r="B104" i="7"/>
  <c r="B105" i="7"/>
  <c r="B106" i="7"/>
  <c r="B9" i="7"/>
  <c r="B107" i="7"/>
  <c r="B108" i="7"/>
  <c r="B109" i="7"/>
  <c r="B16" i="7"/>
  <c r="B110" i="7"/>
  <c r="B23" i="7"/>
  <c r="B111" i="7"/>
  <c r="B71" i="7"/>
  <c r="B112" i="7"/>
  <c r="B113" i="7"/>
  <c r="B114" i="7"/>
  <c r="B26" i="7"/>
  <c r="B27" i="7"/>
  <c r="B28" i="7"/>
  <c r="B30" i="7"/>
  <c r="B32" i="7"/>
  <c r="B115" i="7"/>
  <c r="B34" i="7"/>
  <c r="B36" i="7"/>
  <c r="B116" i="7"/>
  <c r="B117" i="7"/>
  <c r="B118" i="7"/>
  <c r="B119" i="7"/>
  <c r="B39" i="7"/>
  <c r="B120" i="7"/>
  <c r="B121" i="7"/>
  <c r="B43" i="7"/>
  <c r="B122" i="7"/>
  <c r="B123" i="7"/>
  <c r="B45" i="7"/>
  <c r="B46" i="7"/>
  <c r="B124" i="7"/>
  <c r="B125" i="7"/>
  <c r="B47" i="7"/>
  <c r="B48" i="7"/>
  <c r="B126" i="7"/>
  <c r="B127" i="7"/>
  <c r="B128" i="7"/>
  <c r="B50" i="7"/>
  <c r="B52" i="7"/>
  <c r="B57" i="7"/>
  <c r="B63" i="7"/>
  <c r="B129" i="7"/>
  <c r="B130" i="7"/>
  <c r="B69" i="7"/>
  <c r="B70" i="7"/>
  <c r="B131" i="7"/>
  <c r="B132" i="7"/>
  <c r="B133" i="7"/>
  <c r="B134" i="7"/>
  <c r="B135" i="7"/>
  <c r="B136" i="7"/>
  <c r="B74" i="7"/>
  <c r="B137" i="7"/>
  <c r="B138" i="7"/>
  <c r="B83" i="7"/>
  <c r="B84" i="7"/>
  <c r="B85" i="7"/>
  <c r="B86" i="7"/>
  <c r="B87" i="7"/>
  <c r="B139" i="7"/>
  <c r="B140" i="7"/>
  <c r="B141" i="7"/>
  <c r="B92" i="7"/>
  <c r="B93" i="7"/>
  <c r="B142" i="7"/>
  <c r="B94" i="7"/>
  <c r="B143" i="7"/>
  <c r="B144" i="7"/>
  <c r="B97" i="7"/>
  <c r="B100" i="7"/>
  <c r="B145" i="7"/>
  <c r="B102" i="7"/>
  <c r="D85" i="4" l="1"/>
  <c r="D116" i="4"/>
  <c r="I116" i="4" s="1"/>
  <c r="D114" i="4"/>
  <c r="I114" i="4" s="1"/>
  <c r="D110" i="4"/>
  <c r="I110" i="4" s="1"/>
  <c r="D109" i="4"/>
  <c r="I109" i="4" s="1"/>
  <c r="D108" i="4"/>
  <c r="I108" i="4" s="1"/>
  <c r="D103" i="4"/>
  <c r="I103" i="4" s="1"/>
  <c r="D102" i="4"/>
  <c r="I102" i="4" s="1"/>
  <c r="D115" i="4"/>
  <c r="I115" i="4" s="1"/>
  <c r="D113" i="4"/>
  <c r="I113" i="4" s="1"/>
  <c r="D112" i="4"/>
  <c r="I112" i="4" s="1"/>
  <c r="D111" i="4"/>
  <c r="I111" i="4" s="1"/>
  <c r="D107" i="4"/>
  <c r="I107" i="4" s="1"/>
  <c r="D106" i="4"/>
  <c r="I106" i="4" s="1"/>
  <c r="D105" i="4"/>
  <c r="I105" i="4" s="1"/>
  <c r="B5" i="3"/>
  <c r="B23" i="3"/>
  <c r="B8" i="3"/>
  <c r="M23" i="3" a="1"/>
  <c r="M23" i="3" s="1"/>
  <c r="M8" i="3" a="1"/>
  <c r="M8" i="3" s="1"/>
  <c r="M5" i="3" a="1"/>
  <c r="M5" i="3" s="1"/>
  <c r="K28" i="3"/>
  <c r="D22" i="4" s="1"/>
  <c r="L19" i="3"/>
  <c r="P4" i="6"/>
  <c r="O4" i="6"/>
  <c r="N4" i="6"/>
  <c r="P3" i="6"/>
  <c r="O3" i="6"/>
  <c r="N3" i="6"/>
  <c r="P2" i="6"/>
  <c r="O2" i="6"/>
  <c r="N2" i="6"/>
  <c r="L24" i="3"/>
  <c r="K24" i="3"/>
  <c r="D86" i="4" s="1"/>
  <c r="A24" i="3"/>
  <c r="L103" i="3"/>
  <c r="K103" i="3"/>
  <c r="D87" i="4" s="1"/>
  <c r="A103" i="3"/>
  <c r="L104" i="3"/>
  <c r="K104" i="3"/>
  <c r="D90" i="4" s="1"/>
  <c r="A104" i="3"/>
  <c r="L88" i="3"/>
  <c r="K88" i="3"/>
  <c r="D9" i="4" s="1"/>
  <c r="A88" i="3"/>
  <c r="L101" i="3"/>
  <c r="K101" i="3"/>
  <c r="D101" i="4" s="1"/>
  <c r="A101" i="3"/>
  <c r="L55" i="3"/>
  <c r="K55" i="3"/>
  <c r="D53" i="4" s="1"/>
  <c r="A55" i="3"/>
  <c r="L40" i="3"/>
  <c r="K40" i="3"/>
  <c r="A40" i="3"/>
  <c r="L97" i="3"/>
  <c r="K97" i="3"/>
  <c r="D67" i="4" s="1"/>
  <c r="A97" i="3"/>
  <c r="L72" i="3"/>
  <c r="K72" i="3"/>
  <c r="D70" i="4" s="1"/>
  <c r="A72" i="3"/>
  <c r="L33" i="3"/>
  <c r="K33" i="3"/>
  <c r="D77" i="4" s="1"/>
  <c r="A33" i="3"/>
  <c r="L30" i="3"/>
  <c r="K30" i="3"/>
  <c r="D80" i="4" s="1"/>
  <c r="A30" i="3"/>
  <c r="L27" i="3"/>
  <c r="K27" i="3"/>
  <c r="A27" i="3"/>
  <c r="L26" i="3"/>
  <c r="K26" i="3"/>
  <c r="A26" i="3"/>
  <c r="L14" i="3"/>
  <c r="K14" i="3"/>
  <c r="D56" i="4" s="1"/>
  <c r="A14" i="3"/>
  <c r="L100" i="3"/>
  <c r="K100" i="3"/>
  <c r="D91" i="4" s="1"/>
  <c r="A100" i="3"/>
  <c r="L99" i="3"/>
  <c r="K99" i="3"/>
  <c r="D69" i="4" s="1"/>
  <c r="A99" i="3"/>
  <c r="L98" i="3"/>
  <c r="K98" i="3"/>
  <c r="D61" i="4" s="1"/>
  <c r="A98" i="3"/>
  <c r="L96" i="3"/>
  <c r="K96" i="3"/>
  <c r="D73" i="4" s="1"/>
  <c r="A96" i="3"/>
  <c r="L95" i="3"/>
  <c r="K95" i="3"/>
  <c r="D25" i="4" s="1"/>
  <c r="A95" i="3"/>
  <c r="L94" i="3"/>
  <c r="K94" i="3"/>
  <c r="D66" i="4" s="1"/>
  <c r="A94" i="3"/>
  <c r="L93" i="3"/>
  <c r="K93" i="3"/>
  <c r="D43" i="4" s="1"/>
  <c r="A93" i="3"/>
  <c r="L92" i="3"/>
  <c r="K92" i="3"/>
  <c r="D42" i="4" s="1"/>
  <c r="A92" i="3"/>
  <c r="B92" i="3" s="1"/>
  <c r="L91" i="3"/>
  <c r="K91" i="3"/>
  <c r="D48" i="4" s="1"/>
  <c r="A91" i="3"/>
  <c r="L90" i="3"/>
  <c r="K90" i="3"/>
  <c r="D71" i="4" s="1"/>
  <c r="A90" i="3"/>
  <c r="L89" i="3"/>
  <c r="K89" i="3"/>
  <c r="D40" i="4" s="1"/>
  <c r="A89" i="3"/>
  <c r="L86" i="3"/>
  <c r="K86" i="3"/>
  <c r="D35" i="4" s="1"/>
  <c r="A86" i="3"/>
  <c r="L85" i="3"/>
  <c r="K85" i="3"/>
  <c r="D13" i="4" s="1"/>
  <c r="A85" i="3"/>
  <c r="L84" i="3"/>
  <c r="K84" i="3"/>
  <c r="D3" i="4" s="1"/>
  <c r="A84" i="3"/>
  <c r="L83" i="3"/>
  <c r="K83" i="3"/>
  <c r="A83" i="3"/>
  <c r="L82" i="3"/>
  <c r="K82" i="3"/>
  <c r="D31" i="4" s="1"/>
  <c r="A82" i="3"/>
  <c r="L81" i="3"/>
  <c r="K81" i="3"/>
  <c r="D21" i="4" s="1"/>
  <c r="A81" i="3"/>
  <c r="L80" i="3"/>
  <c r="K80" i="3"/>
  <c r="D54" i="4" s="1"/>
  <c r="A80" i="3"/>
  <c r="L79" i="3"/>
  <c r="K79" i="3"/>
  <c r="D59" i="4" s="1"/>
  <c r="A79" i="3"/>
  <c r="L78" i="3"/>
  <c r="K78" i="3"/>
  <c r="D65" i="4" s="1"/>
  <c r="A78" i="3"/>
  <c r="L77" i="3"/>
  <c r="K77" i="3"/>
  <c r="D57" i="4" s="1"/>
  <c r="A77" i="3"/>
  <c r="L76" i="3"/>
  <c r="K76" i="3"/>
  <c r="D24" i="4" s="1"/>
  <c r="A76" i="3"/>
  <c r="L75" i="3"/>
  <c r="K75" i="3"/>
  <c r="D15" i="4" s="1"/>
  <c r="A75" i="3"/>
  <c r="L73" i="3"/>
  <c r="K73" i="3"/>
  <c r="A73" i="3"/>
  <c r="B73" i="3" s="1"/>
  <c r="L70" i="3"/>
  <c r="K70" i="3"/>
  <c r="D51" i="4" s="1"/>
  <c r="A70" i="3"/>
  <c r="L69" i="3"/>
  <c r="K69" i="3"/>
  <c r="D32" i="4" s="1"/>
  <c r="A69" i="3"/>
  <c r="L68" i="3"/>
  <c r="K68" i="3"/>
  <c r="D64" i="4" s="1"/>
  <c r="A68" i="3"/>
  <c r="L67" i="3"/>
  <c r="K67" i="3"/>
  <c r="A67" i="3"/>
  <c r="L65" i="3"/>
  <c r="K65" i="3"/>
  <c r="D50" i="4" s="1"/>
  <c r="A65" i="3"/>
  <c r="L63" i="3"/>
  <c r="K63" i="3"/>
  <c r="D79" i="4" s="1"/>
  <c r="A63" i="3"/>
  <c r="L60" i="3"/>
  <c r="K60" i="3"/>
  <c r="D93" i="4" s="1"/>
  <c r="A60" i="3"/>
  <c r="L58" i="3"/>
  <c r="K58" i="3"/>
  <c r="D17" i="4" s="1"/>
  <c r="A58" i="3"/>
  <c r="L57" i="3"/>
  <c r="K57" i="3"/>
  <c r="D6" i="4" s="1"/>
  <c r="A57" i="3"/>
  <c r="L56" i="3"/>
  <c r="K56" i="3"/>
  <c r="D68" i="4" s="1"/>
  <c r="A56" i="3"/>
  <c r="L54" i="3"/>
  <c r="K54" i="3"/>
  <c r="D100" i="4" s="1"/>
  <c r="A54" i="3"/>
  <c r="L53" i="3"/>
  <c r="K53" i="3"/>
  <c r="D37" i="4" s="1"/>
  <c r="A53" i="3"/>
  <c r="L52" i="3"/>
  <c r="K52" i="3"/>
  <c r="D63" i="4" s="1"/>
  <c r="A52" i="3"/>
  <c r="L51" i="3"/>
  <c r="K51" i="3"/>
  <c r="D19" i="4" s="1"/>
  <c r="A51" i="3"/>
  <c r="L50" i="3"/>
  <c r="K50" i="3"/>
  <c r="D23" i="4" s="1"/>
  <c r="A50" i="3"/>
  <c r="L46" i="3"/>
  <c r="K46" i="3"/>
  <c r="D98" i="4" s="1"/>
  <c r="A46" i="3"/>
  <c r="B46" i="3" s="1"/>
  <c r="L44" i="3"/>
  <c r="K44" i="3"/>
  <c r="D26" i="4" s="1"/>
  <c r="A44" i="3"/>
  <c r="L43" i="3"/>
  <c r="K43" i="3"/>
  <c r="D4" i="4" s="1"/>
  <c r="A43" i="3"/>
  <c r="L41" i="3"/>
  <c r="K41" i="3"/>
  <c r="D82" i="4" s="1"/>
  <c r="A41" i="3"/>
  <c r="L36" i="3"/>
  <c r="K36" i="3"/>
  <c r="D52" i="4" s="1"/>
  <c r="A36" i="3"/>
  <c r="L35" i="3"/>
  <c r="K35" i="3"/>
  <c r="D11" i="4" s="1"/>
  <c r="A35" i="3"/>
  <c r="L34" i="3"/>
  <c r="K34" i="3"/>
  <c r="D92" i="4" s="1"/>
  <c r="A34" i="3"/>
  <c r="L32" i="3"/>
  <c r="K32" i="3"/>
  <c r="D16" i="4" s="1"/>
  <c r="A32" i="3"/>
  <c r="L31" i="3"/>
  <c r="K31" i="3"/>
  <c r="D7" i="4" s="1"/>
  <c r="A31" i="3"/>
  <c r="L29" i="3"/>
  <c r="K29" i="3"/>
  <c r="D72" i="4" s="1"/>
  <c r="A29" i="3"/>
  <c r="L25" i="3"/>
  <c r="K25" i="3"/>
  <c r="D75" i="4" s="1"/>
  <c r="A25" i="3"/>
  <c r="L22" i="3"/>
  <c r="K22" i="3"/>
  <c r="D8" i="4" s="1"/>
  <c r="A22" i="3"/>
  <c r="L21" i="3"/>
  <c r="K21" i="3"/>
  <c r="D34" i="4" s="1"/>
  <c r="A21" i="3"/>
  <c r="L18" i="3"/>
  <c r="K18" i="3"/>
  <c r="D96" i="4" s="1"/>
  <c r="A18" i="3"/>
  <c r="L17" i="3"/>
  <c r="K17" i="3"/>
  <c r="D62" i="4" s="1"/>
  <c r="A17" i="3"/>
  <c r="L15" i="3"/>
  <c r="K15" i="3"/>
  <c r="D29" i="4" s="1"/>
  <c r="A15" i="3"/>
  <c r="L13" i="3"/>
  <c r="K13" i="3"/>
  <c r="D49" i="4" s="1"/>
  <c r="A13" i="3"/>
  <c r="B13" i="3" s="1"/>
  <c r="L12" i="3"/>
  <c r="K12" i="3"/>
  <c r="D89" i="4" s="1"/>
  <c r="A12" i="3"/>
  <c r="L11" i="3"/>
  <c r="K11" i="3"/>
  <c r="D88" i="4" s="1"/>
  <c r="A11" i="3"/>
  <c r="L10" i="3"/>
  <c r="K10" i="3"/>
  <c r="D94" i="4" s="1"/>
  <c r="A10" i="3"/>
  <c r="L9" i="3"/>
  <c r="K9" i="3"/>
  <c r="D44" i="4" s="1"/>
  <c r="A9" i="3"/>
  <c r="L7" i="3"/>
  <c r="K7" i="3"/>
  <c r="D41" i="4" s="1"/>
  <c r="A7" i="3"/>
  <c r="L6" i="3"/>
  <c r="K6" i="3"/>
  <c r="D36" i="4" s="1"/>
  <c r="A6" i="3"/>
  <c r="L4" i="3"/>
  <c r="K4" i="3"/>
  <c r="D55" i="4" s="1"/>
  <c r="A4" i="3"/>
  <c r="L106" i="3"/>
  <c r="K106" i="3"/>
  <c r="D2" i="4" s="1"/>
  <c r="A106" i="3"/>
  <c r="L105" i="3"/>
  <c r="K105" i="3"/>
  <c r="D78" i="4" s="1"/>
  <c r="A105" i="3"/>
  <c r="L102" i="3"/>
  <c r="K102" i="3"/>
  <c r="D58" i="4" s="1"/>
  <c r="A102" i="3"/>
  <c r="L87" i="3"/>
  <c r="K87" i="3"/>
  <c r="D27" i="4" s="1"/>
  <c r="A87" i="3"/>
  <c r="L74" i="3"/>
  <c r="K74" i="3"/>
  <c r="D5" i="4" s="1"/>
  <c r="A74" i="3"/>
  <c r="L71" i="3"/>
  <c r="K71" i="3"/>
  <c r="D33" i="4" s="1"/>
  <c r="A71" i="3"/>
  <c r="L66" i="3"/>
  <c r="K66" i="3"/>
  <c r="D45" i="4" s="1"/>
  <c r="A66" i="3"/>
  <c r="L64" i="3"/>
  <c r="K64" i="3"/>
  <c r="D30" i="4" s="1"/>
  <c r="A64" i="3"/>
  <c r="L62" i="3"/>
  <c r="K62" i="3"/>
  <c r="D39" i="4" s="1"/>
  <c r="A62" i="3"/>
  <c r="B62" i="3" s="1"/>
  <c r="L61" i="3"/>
  <c r="K61" i="3"/>
  <c r="D47" i="4" s="1"/>
  <c r="A61" i="3"/>
  <c r="L59" i="3"/>
  <c r="K59" i="3"/>
  <c r="D46" i="4" s="1"/>
  <c r="A59" i="3"/>
  <c r="L49" i="3"/>
  <c r="K49" i="3"/>
  <c r="D20" i="4" s="1"/>
  <c r="A49" i="3"/>
  <c r="L48" i="3"/>
  <c r="K48" i="3"/>
  <c r="A48" i="3"/>
  <c r="L47" i="3"/>
  <c r="K47" i="3"/>
  <c r="D76" i="4" s="1"/>
  <c r="A47" i="3"/>
  <c r="L45" i="3"/>
  <c r="K45" i="3"/>
  <c r="D12" i="4" s="1"/>
  <c r="A45" i="3"/>
  <c r="L42" i="3"/>
  <c r="K42" i="3"/>
  <c r="D10" i="4" s="1"/>
  <c r="A42" i="3"/>
  <c r="L39" i="3"/>
  <c r="K39" i="3"/>
  <c r="A39" i="3"/>
  <c r="L38" i="3"/>
  <c r="K38" i="3"/>
  <c r="D14" i="4" s="1"/>
  <c r="A38" i="3"/>
  <c r="L37" i="3"/>
  <c r="K37" i="3"/>
  <c r="D18" i="4" s="1"/>
  <c r="A37" i="3"/>
  <c r="L28" i="3"/>
  <c r="A28" i="3"/>
  <c r="M28" i="3" s="1" a="1"/>
  <c r="M28" i="3" s="1"/>
  <c r="L20" i="3"/>
  <c r="K20" i="3"/>
  <c r="A20" i="3"/>
  <c r="L16" i="3"/>
  <c r="K16" i="3"/>
  <c r="D38" i="4" s="1"/>
  <c r="A16" i="3"/>
  <c r="K19" i="3"/>
  <c r="D28" i="4" s="1"/>
  <c r="A19" i="3"/>
  <c r="M55" i="3" l="1" a="1"/>
  <c r="M55" i="3" s="1"/>
  <c r="I52" i="4"/>
  <c r="I6" i="4"/>
  <c r="I17" i="4"/>
  <c r="I70" i="4"/>
  <c r="I31" i="4"/>
  <c r="I98" i="4"/>
  <c r="I63" i="4"/>
  <c r="I86" i="4"/>
  <c r="I40" i="4"/>
  <c r="L1" i="3"/>
  <c r="I54" i="4"/>
  <c r="I49" i="4"/>
  <c r="K1" i="3"/>
  <c r="I33" i="4"/>
  <c r="M41" i="3" a="1"/>
  <c r="M41" i="3" s="1"/>
  <c r="M68" i="3" a="1"/>
  <c r="M68" i="3" s="1"/>
  <c r="M89" i="3" a="1"/>
  <c r="M89" i="3" s="1"/>
  <c r="M72" i="3" a="1"/>
  <c r="M72" i="3" s="1"/>
  <c r="I79" i="4"/>
  <c r="I16" i="4"/>
  <c r="I55" i="4"/>
  <c r="I18" i="4"/>
  <c r="I14" i="4"/>
  <c r="I68" i="4"/>
  <c r="I29" i="4"/>
  <c r="I30" i="4"/>
  <c r="I47" i="4"/>
  <c r="I71" i="4"/>
  <c r="I72" i="4"/>
  <c r="I39" i="4"/>
  <c r="I57" i="4"/>
  <c r="I10" i="4"/>
  <c r="I20" i="4"/>
  <c r="I65" i="4"/>
  <c r="I67" i="4"/>
  <c r="I58" i="4"/>
  <c r="I87" i="4"/>
  <c r="I26" i="4"/>
  <c r="I5" i="4"/>
  <c r="I43" i="4"/>
  <c r="I32" i="4"/>
  <c r="I21" i="4"/>
  <c r="I69" i="4"/>
  <c r="I36" i="4"/>
  <c r="I19" i="4"/>
  <c r="I12" i="4"/>
  <c r="I15" i="4"/>
  <c r="I66" i="4"/>
  <c r="I51" i="4"/>
  <c r="I78" i="4"/>
  <c r="I101" i="4"/>
  <c r="I24" i="4"/>
  <c r="I25" i="4"/>
  <c r="I28" i="4"/>
  <c r="I2" i="4"/>
  <c r="I91" i="4"/>
  <c r="I27" i="4"/>
  <c r="I76" i="4"/>
  <c r="I73" i="4"/>
  <c r="I8" i="4"/>
  <c r="I48" i="4"/>
  <c r="I100" i="4"/>
  <c r="I45" i="4"/>
  <c r="I13" i="4"/>
  <c r="I44" i="4"/>
  <c r="I4" i="4"/>
  <c r="I42" i="4"/>
  <c r="I89" i="4"/>
  <c r="I34" i="4"/>
  <c r="M49" i="3" a="1"/>
  <c r="M49" i="3" s="1"/>
  <c r="M10" i="3" a="1"/>
  <c r="M10" i="3" s="1"/>
  <c r="I7" i="4"/>
  <c r="I23" i="4"/>
  <c r="I59" i="4"/>
  <c r="B87" i="3"/>
  <c r="B48" i="3"/>
  <c r="B9" i="3"/>
  <c r="B36" i="3"/>
  <c r="B67" i="3"/>
  <c r="B86" i="3"/>
  <c r="B33" i="3"/>
  <c r="M20" i="3" a="1"/>
  <c r="M20" i="3" s="1"/>
  <c r="M74" i="3" a="1"/>
  <c r="M74" i="3" s="1"/>
  <c r="M21" i="3" a="1"/>
  <c r="M21" i="3" s="1"/>
  <c r="M53" i="3" a="1"/>
  <c r="M53" i="3" s="1"/>
  <c r="M78" i="3" a="1"/>
  <c r="M78" i="3" s="1"/>
  <c r="M96" i="3" a="1"/>
  <c r="M96" i="3" s="1"/>
  <c r="M103" i="3" a="1"/>
  <c r="M103" i="3" s="1"/>
  <c r="B93" i="3"/>
  <c r="B101" i="3"/>
  <c r="M37" i="3" a="1"/>
  <c r="M37" i="3" s="1"/>
  <c r="M102" i="3" a="1"/>
  <c r="M102" i="3" s="1"/>
  <c r="M25" i="3" a="1"/>
  <c r="M25" i="3" s="1"/>
  <c r="M56" i="3" a="1"/>
  <c r="M56" i="3" s="1"/>
  <c r="M80" i="3" a="1"/>
  <c r="M80" i="3" s="1"/>
  <c r="M99" i="3" a="1"/>
  <c r="M99" i="3" s="1"/>
  <c r="M39" i="3" a="1"/>
  <c r="M39" i="3" s="1"/>
  <c r="M16" i="3" a="1"/>
  <c r="M16" i="3" s="1"/>
  <c r="M71" i="3" a="1"/>
  <c r="M71" i="3" s="1"/>
  <c r="M18" i="3" a="1"/>
  <c r="M18" i="3" s="1"/>
  <c r="M52" i="3" a="1"/>
  <c r="M52" i="3" s="1"/>
  <c r="M77" i="3" a="1"/>
  <c r="M77" i="3" s="1"/>
  <c r="M95" i="3" a="1"/>
  <c r="M95" i="3" s="1"/>
  <c r="M104" i="3" a="1"/>
  <c r="M104" i="3" s="1"/>
  <c r="M19" i="3" a="1"/>
  <c r="M19" i="3" s="1"/>
  <c r="B66" i="3"/>
  <c r="B17" i="3"/>
  <c r="B51" i="3"/>
  <c r="B76" i="3"/>
  <c r="B94" i="3"/>
  <c r="B88" i="3"/>
  <c r="M106" i="3" a="1"/>
  <c r="M106" i="3" s="1"/>
  <c r="M31" i="3" a="1"/>
  <c r="M31" i="3" s="1"/>
  <c r="M58" i="3" a="1"/>
  <c r="M58" i="3" s="1"/>
  <c r="M82" i="3" a="1"/>
  <c r="M82" i="3" s="1"/>
  <c r="M14" i="3" a="1"/>
  <c r="M14" i="3" s="1"/>
  <c r="B72" i="3"/>
  <c r="B11" i="3"/>
  <c r="B43" i="3"/>
  <c r="B69" i="3"/>
  <c r="B90" i="3"/>
  <c r="B97" i="3"/>
  <c r="B59" i="3"/>
  <c r="M42" i="3" a="1"/>
  <c r="M42" i="3" s="1"/>
  <c r="M4" i="3" a="1"/>
  <c r="M4" i="3" s="1"/>
  <c r="M32" i="3" a="1"/>
  <c r="M32" i="3" s="1"/>
  <c r="M60" i="3" a="1"/>
  <c r="M60" i="3" s="1"/>
  <c r="M83" i="3" a="1"/>
  <c r="M83" i="3" s="1"/>
  <c r="M26" i="3" a="1"/>
  <c r="M26" i="3" s="1"/>
  <c r="B61" i="3"/>
  <c r="B12" i="3"/>
  <c r="B44" i="3"/>
  <c r="B70" i="3"/>
  <c r="B91" i="3"/>
  <c r="B40" i="3"/>
  <c r="M45" i="3" a="1"/>
  <c r="M45" i="3" s="1"/>
  <c r="M6" i="3" a="1"/>
  <c r="M6" i="3" s="1"/>
  <c r="M34" i="3" a="1"/>
  <c r="M34" i="3" s="1"/>
  <c r="M63" i="3" a="1"/>
  <c r="M63" i="3" s="1"/>
  <c r="M84" i="3" a="1"/>
  <c r="M84" i="3" s="1"/>
  <c r="M27" i="3" a="1"/>
  <c r="M27" i="3" s="1"/>
  <c r="B22" i="3"/>
  <c r="B54" i="3"/>
  <c r="B79" i="3"/>
  <c r="B98" i="3"/>
  <c r="B24" i="3"/>
  <c r="M24" i="3" a="1"/>
  <c r="M24" i="3" s="1"/>
  <c r="B47" i="3"/>
  <c r="B7" i="3"/>
  <c r="B35" i="3"/>
  <c r="B65" i="3"/>
  <c r="B85" i="3"/>
  <c r="B30" i="3"/>
  <c r="B55" i="3"/>
  <c r="M98" i="3" a="1"/>
  <c r="M98" i="3" s="1"/>
  <c r="M79" i="3" a="1"/>
  <c r="M79" i="3" s="1"/>
  <c r="B64" i="3"/>
  <c r="B15" i="3"/>
  <c r="B50" i="3"/>
  <c r="B75" i="3"/>
  <c r="M54" i="3" a="1"/>
  <c r="M54" i="3" s="1"/>
  <c r="M22" i="3" a="1"/>
  <c r="M22" i="3" s="1"/>
  <c r="M38" i="3" a="1"/>
  <c r="M38" i="3" s="1"/>
  <c r="M105" i="3" a="1"/>
  <c r="M105" i="3" s="1"/>
  <c r="M29" i="3" a="1"/>
  <c r="M29" i="3" s="1"/>
  <c r="M57" i="3" a="1"/>
  <c r="M57" i="3" s="1"/>
  <c r="M81" i="3" a="1"/>
  <c r="M81" i="3" s="1"/>
  <c r="M100" i="3" a="1"/>
  <c r="M100" i="3" s="1"/>
  <c r="M87" i="3" a="1"/>
  <c r="M87" i="3" s="1"/>
  <c r="B27" i="3"/>
  <c r="B84" i="3"/>
  <c r="B63" i="3"/>
  <c r="B34" i="3"/>
  <c r="B6" i="3"/>
  <c r="B45" i="3"/>
  <c r="M88" i="3" a="1"/>
  <c r="M88" i="3" s="1"/>
  <c r="M94" i="3" a="1"/>
  <c r="M94" i="3" s="1"/>
  <c r="M76" i="3" a="1"/>
  <c r="M76" i="3" s="1"/>
  <c r="M51" i="3" a="1"/>
  <c r="M51" i="3" s="1"/>
  <c r="M17" i="3" a="1"/>
  <c r="M17" i="3" s="1"/>
  <c r="M66" i="3" a="1"/>
  <c r="M66" i="3" s="1"/>
  <c r="B26" i="3"/>
  <c r="B83" i="3"/>
  <c r="B60" i="3"/>
  <c r="B32" i="3"/>
  <c r="B4" i="3"/>
  <c r="B42" i="3"/>
  <c r="M101" i="3" a="1"/>
  <c r="M101" i="3" s="1"/>
  <c r="M93" i="3" a="1"/>
  <c r="M93" i="3" s="1"/>
  <c r="M75" i="3" a="1"/>
  <c r="M75" i="3" s="1"/>
  <c r="M50" i="3" a="1"/>
  <c r="M50" i="3" s="1"/>
  <c r="M15" i="3" a="1"/>
  <c r="M15" i="3" s="1"/>
  <c r="M64" i="3" a="1"/>
  <c r="M64" i="3" s="1"/>
  <c r="B14" i="3"/>
  <c r="B82" i="3"/>
  <c r="B58" i="3"/>
  <c r="B31" i="3"/>
  <c r="B106" i="3"/>
  <c r="B39" i="3"/>
  <c r="M92" i="3" a="1"/>
  <c r="M92" i="3" s="1"/>
  <c r="M73" i="3" a="1"/>
  <c r="M73" i="3" s="1"/>
  <c r="M46" i="3" a="1"/>
  <c r="M46" i="3" s="1"/>
  <c r="M13" i="3" a="1"/>
  <c r="M13" i="3" s="1"/>
  <c r="M62" i="3" a="1"/>
  <c r="M62" i="3" s="1"/>
  <c r="B100" i="3"/>
  <c r="B81" i="3"/>
  <c r="B57" i="3"/>
  <c r="B29" i="3"/>
  <c r="B105" i="3"/>
  <c r="B38" i="3"/>
  <c r="M40" i="3" a="1"/>
  <c r="M40" i="3" s="1"/>
  <c r="M91" i="3" a="1"/>
  <c r="M91" i="3" s="1"/>
  <c r="M70" i="3" a="1"/>
  <c r="M70" i="3" s="1"/>
  <c r="M44" i="3" a="1"/>
  <c r="M44" i="3" s="1"/>
  <c r="M12" i="3" a="1"/>
  <c r="M12" i="3" s="1"/>
  <c r="M61" i="3" a="1"/>
  <c r="M61" i="3" s="1"/>
  <c r="B19" i="3"/>
  <c r="B99" i="3"/>
  <c r="B80" i="3"/>
  <c r="B56" i="3"/>
  <c r="B25" i="3"/>
  <c r="B102" i="3"/>
  <c r="B37" i="3"/>
  <c r="M97" i="3" a="1"/>
  <c r="M97" i="3" s="1"/>
  <c r="M90" i="3" a="1"/>
  <c r="M90" i="3" s="1"/>
  <c r="M69" i="3" a="1"/>
  <c r="M69" i="3" s="1"/>
  <c r="M43" i="3" a="1"/>
  <c r="M43" i="3" s="1"/>
  <c r="M11" i="3" a="1"/>
  <c r="M11" i="3" s="1"/>
  <c r="M59" i="3" a="1"/>
  <c r="M59" i="3" s="1"/>
  <c r="B68" i="3"/>
  <c r="B49" i="3"/>
  <c r="B28" i="3"/>
  <c r="B41" i="3"/>
  <c r="B103" i="3"/>
  <c r="B96" i="3"/>
  <c r="B78" i="3"/>
  <c r="B53" i="3"/>
  <c r="B21" i="3"/>
  <c r="B74" i="3"/>
  <c r="B20" i="3"/>
  <c r="M33" i="3" a="1"/>
  <c r="M33" i="3" s="1"/>
  <c r="M86" i="3" a="1"/>
  <c r="M86" i="3" s="1"/>
  <c r="M67" i="3" a="1"/>
  <c r="M67" i="3" s="1"/>
  <c r="M36" i="3" a="1"/>
  <c r="M36" i="3" s="1"/>
  <c r="M9" i="3" a="1"/>
  <c r="M9" i="3" s="1"/>
  <c r="M48" i="3" a="1"/>
  <c r="M48" i="3" s="1"/>
  <c r="B104" i="3"/>
  <c r="B95" i="3"/>
  <c r="B77" i="3"/>
  <c r="B52" i="3"/>
  <c r="B18" i="3"/>
  <c r="B71" i="3"/>
  <c r="B16" i="3"/>
  <c r="M30" i="3" a="1"/>
  <c r="M30" i="3" s="1"/>
  <c r="M85" i="3" a="1"/>
  <c r="M85" i="3" s="1"/>
  <c r="M65" i="3" a="1"/>
  <c r="M65" i="3" s="1"/>
  <c r="M35" i="3" a="1"/>
  <c r="M35" i="3" s="1"/>
  <c r="M7" i="3" a="1"/>
  <c r="M7" i="3" s="1"/>
  <c r="M47" i="3" a="1"/>
  <c r="M47" i="3" s="1"/>
  <c r="I61" i="4"/>
  <c r="B89" i="3"/>
  <c r="B10" i="3"/>
  <c r="I11" i="4"/>
  <c r="I80" i="4"/>
  <c r="I90" i="4"/>
  <c r="I74" i="4"/>
  <c r="I22" i="4"/>
  <c r="I85" i="4"/>
  <c r="I95" i="4"/>
  <c r="I60" i="4"/>
  <c r="I81" i="4"/>
  <c r="I96" i="4"/>
  <c r="I82" i="4"/>
  <c r="I35" i="4"/>
  <c r="I97" i="4"/>
  <c r="I56" i="4"/>
  <c r="I77" i="4"/>
  <c r="I41" i="4"/>
  <c r="I83" i="4"/>
  <c r="I84" i="4"/>
  <c r="I93" i="4"/>
  <c r="I99" i="4"/>
  <c r="I53" i="4"/>
  <c r="I46" i="4"/>
  <c r="I62" i="4"/>
  <c r="I94" i="4"/>
  <c r="I75" i="4"/>
  <c r="I88" i="4"/>
  <c r="I37" i="4"/>
  <c r="I50" i="4"/>
  <c r="I92" i="4"/>
  <c r="I9" i="4"/>
  <c r="I38" i="4"/>
  <c r="I3" i="4"/>
  <c r="I64" i="4"/>
  <c r="M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<sst xmlns="http://schemas.openxmlformats.org/spreadsheetml/2006/main" count="376" uniqueCount="165">
  <si>
    <t>Cuota</t>
  </si>
  <si>
    <t>Status</t>
  </si>
  <si>
    <t>IGG ID</t>
  </si>
  <si>
    <t>Nombre</t>
  </si>
  <si>
    <t>Total Semanal</t>
  </si>
  <si>
    <t>Total Mobs lvl 1</t>
  </si>
  <si>
    <t>Total Mobs lvl 2</t>
  </si>
  <si>
    <t>Total Mobs lvl 3</t>
  </si>
  <si>
    <t>Total Mobs lvl 4</t>
  </si>
  <si>
    <t>Total Mobs lvl 5</t>
  </si>
  <si>
    <t>Puntos Nvl 2</t>
  </si>
  <si>
    <t>Puntos Nvl 1</t>
  </si>
  <si>
    <t>Fecha de Reporte</t>
  </si>
  <si>
    <t>5lvl2</t>
  </si>
  <si>
    <t>Abraracurcix</t>
  </si>
  <si>
    <t>25/05/2026 al 31/05/2026</t>
  </si>
  <si>
    <t>AGUIRRE1</t>
  </si>
  <si>
    <t>AGUIRRE1992</t>
  </si>
  <si>
    <t>No cumplio</t>
  </si>
  <si>
    <t>Andres HS4</t>
  </si>
  <si>
    <t>Anonymous</t>
  </si>
  <si>
    <t>Asterix I</t>
  </si>
  <si>
    <t>Atlas55555</t>
  </si>
  <si>
    <t>Atlas7770</t>
  </si>
  <si>
    <t>badboys1</t>
  </si>
  <si>
    <t>BadBoys4k</t>
  </si>
  <si>
    <t>Barometrix</t>
  </si>
  <si>
    <t>BK Juanjo</t>
  </si>
  <si>
    <t>Blackslayer5</t>
  </si>
  <si>
    <t>Blurdomking</t>
  </si>
  <si>
    <t>cafecitofrio</t>
  </si>
  <si>
    <t>ccccniwari</t>
  </si>
  <si>
    <t>CHACHO 78</t>
  </si>
  <si>
    <t>chinita241</t>
  </si>
  <si>
    <t>CrakSoder25</t>
  </si>
  <si>
    <t>DANTEE666</t>
  </si>
  <si>
    <t>David051190</t>
  </si>
  <si>
    <t>Destiny015</t>
  </si>
  <si>
    <t>El YuVe</t>
  </si>
  <si>
    <t>ELFOSFO</t>
  </si>
  <si>
    <t>FALCON221</t>
  </si>
  <si>
    <t>Gastly237</t>
  </si>
  <si>
    <t>Gengar237</t>
  </si>
  <si>
    <t>GokuBlack25</t>
  </si>
  <si>
    <t>GokuBlack26</t>
  </si>
  <si>
    <t>Hades 04</t>
  </si>
  <si>
    <t>Hotspot 2</t>
  </si>
  <si>
    <t>I GNACIO</t>
  </si>
  <si>
    <t>il pegaso</t>
  </si>
  <si>
    <t>Inng3nN</t>
  </si>
  <si>
    <t>ins4n3 TH</t>
  </si>
  <si>
    <t>JonyG2013</t>
  </si>
  <si>
    <t>Juanjojjp</t>
  </si>
  <si>
    <t>K4K4SHI009</t>
  </si>
  <si>
    <t>KeoIII1</t>
  </si>
  <si>
    <t>LifeToxic</t>
  </si>
  <si>
    <t>M A R P E</t>
  </si>
  <si>
    <t>M3GA6</t>
  </si>
  <si>
    <t>Maxi D</t>
  </si>
  <si>
    <t>Megadiablo</t>
  </si>
  <si>
    <t>mini culichi</t>
  </si>
  <si>
    <t>MiniFaker TH</t>
  </si>
  <si>
    <t>MORETHANLIFE</t>
  </si>
  <si>
    <t>Moscu V</t>
  </si>
  <si>
    <t>Nicki007</t>
  </si>
  <si>
    <t>Nino18</t>
  </si>
  <si>
    <t>Nino2</t>
  </si>
  <si>
    <t>No Soy Bro</t>
  </si>
  <si>
    <t>NoSoyWey</t>
  </si>
  <si>
    <t>Notlife 1</t>
  </si>
  <si>
    <t>Notlife 2</t>
  </si>
  <si>
    <t>NotLife2</t>
  </si>
  <si>
    <t>Nydan D</t>
  </si>
  <si>
    <t>Obelix I</t>
  </si>
  <si>
    <t>OoChispitaoO</t>
  </si>
  <si>
    <t>OzMagig</t>
  </si>
  <si>
    <t>OZUNA01</t>
  </si>
  <si>
    <t>pabellon</t>
  </si>
  <si>
    <t>Panoramix I</t>
  </si>
  <si>
    <t>pegasotenma</t>
  </si>
  <si>
    <t>Pokemon11</t>
  </si>
  <si>
    <t>Rastkolnikof</t>
  </si>
  <si>
    <t>ReySparta</t>
  </si>
  <si>
    <t>RODRIGUEZ 12</t>
  </si>
  <si>
    <t>SantiagoTb</t>
  </si>
  <si>
    <t>SHADOOM24</t>
  </si>
  <si>
    <t>SoNy5</t>
  </si>
  <si>
    <t>super ARAGON</t>
  </si>
  <si>
    <t>T0XXXIC0</t>
  </si>
  <si>
    <t>TH Anteiku</t>
  </si>
  <si>
    <t>TH NotLife</t>
  </si>
  <si>
    <t>TH Notlife2</t>
  </si>
  <si>
    <t>Th3BigB0ss</t>
  </si>
  <si>
    <t>THE CHINOX24</t>
  </si>
  <si>
    <t>Valentin</t>
  </si>
  <si>
    <t>VALEP</t>
  </si>
  <si>
    <t>Vampyro3xxx</t>
  </si>
  <si>
    <t>Vega 38</t>
  </si>
  <si>
    <t>Vega 39</t>
  </si>
  <si>
    <t>Vegueta 69</t>
  </si>
  <si>
    <t>Vegueta blu</t>
  </si>
  <si>
    <t>Washington I</t>
  </si>
  <si>
    <t>willy 10</t>
  </si>
  <si>
    <t>X ANDALUCI X</t>
  </si>
  <si>
    <t>X BAILEN X</t>
  </si>
  <si>
    <t>xavy3r</t>
  </si>
  <si>
    <t>xJokerx TH</t>
  </si>
  <si>
    <t>xkaigaku7x</t>
  </si>
  <si>
    <t>xRudius</t>
  </si>
  <si>
    <t>xtatux12</t>
  </si>
  <si>
    <t>XXGAELICOXX</t>
  </si>
  <si>
    <t>yoshi tecojo</t>
  </si>
  <si>
    <t>YuVe10</t>
  </si>
  <si>
    <t>YuVeSiTo</t>
  </si>
  <si>
    <t>Z3R06</t>
  </si>
  <si>
    <t>ZOOMBI3XX</t>
  </si>
  <si>
    <t>#</t>
  </si>
  <si>
    <t>Total</t>
  </si>
  <si>
    <t>Puntos</t>
  </si>
  <si>
    <t>Fecha Reporte</t>
  </si>
  <si>
    <t>Cuota Diaria</t>
  </si>
  <si>
    <t>IGGID</t>
  </si>
  <si>
    <t>NOMBRE</t>
  </si>
  <si>
    <t>XxtatuxX</t>
  </si>
  <si>
    <t>tetona</t>
  </si>
  <si>
    <t>El Guti26</t>
  </si>
  <si>
    <t>FOODmil</t>
  </si>
  <si>
    <t>lZvG Warasl</t>
  </si>
  <si>
    <t>criatura02</t>
  </si>
  <si>
    <t>Online 16</t>
  </si>
  <si>
    <t>Viiktor V</t>
  </si>
  <si>
    <t>Mob1</t>
  </si>
  <si>
    <t>Mob2</t>
  </si>
  <si>
    <t>Mob3</t>
  </si>
  <si>
    <t>Mob4</t>
  </si>
  <si>
    <t>Mob5</t>
  </si>
  <si>
    <t>Debe</t>
  </si>
  <si>
    <t>Numero</t>
  </si>
  <si>
    <t>Puntos x cumplir</t>
  </si>
  <si>
    <t>Semana anterior</t>
  </si>
  <si>
    <t>Misiones completadas</t>
  </si>
  <si>
    <t>Misiones tomadas</t>
  </si>
  <si>
    <t>Columna1</t>
  </si>
  <si>
    <t>Mes del Reporte</t>
  </si>
  <si>
    <t>JUNIO</t>
  </si>
  <si>
    <t>JmanuR</t>
  </si>
  <si>
    <t>Madarajmr</t>
  </si>
  <si>
    <t>Valkiria4xK</t>
  </si>
  <si>
    <t>XxTatuxX1</t>
  </si>
  <si>
    <t>PESADOS12</t>
  </si>
  <si>
    <t>R3Z3</t>
  </si>
  <si>
    <t>sargent01</t>
  </si>
  <si>
    <t>TH Toxic</t>
  </si>
  <si>
    <t>Torniquet7</t>
  </si>
  <si>
    <t>Valkiria4k</t>
  </si>
  <si>
    <t>EmpAnadita1</t>
  </si>
  <si>
    <t>Empanadita2</t>
  </si>
  <si>
    <t>jmr3365 de</t>
  </si>
  <si>
    <t>Dbora melo</t>
  </si>
  <si>
    <t>Adriana2791</t>
  </si>
  <si>
    <t>01/06/2026 al 07/06/2026</t>
  </si>
  <si>
    <t>Columna2</t>
  </si>
  <si>
    <t>Columna3</t>
  </si>
  <si>
    <t>Columna4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</si>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</sst>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NumberFormat="1"/>
    <xf numFmtId="0" fontId="0" fillId="0" borderId="1" xfId="0" applyNumberFormat="1" applyBorder="1"/>
    <xf numFmtId="0" fontId="0" fillId="2" borderId="1" xfId="0" applyNumberFormat="1" applyFill="1" applyBorder="1"/>
    <xf numFmtId="0" fontId="2" fillId="4" borderId="0" xfId="0" applyNumberFormat="1" applyFont="1" applyFill="1" applyAlignment="1">
      <alignment horizontal="center" vertical="center"/>
    </xf>
    <xf numFmtId="0" fontId="1" fillId="6" borderId="0" xfId="0" applyNumberFormat="1" applyFont="1" applyFill="1"/>
    <xf numFmtId="0" fontId="0" fillId="2" borderId="1" xfId="0" applyNumberForma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/>
    <xf numFmtId="0" fontId="1" fillId="9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/>
    <xf numFmtId="0" fontId="1" fillId="7" borderId="1" xfId="0" applyNumberFormat="1" applyFont="1" applyFill="1" applyBorder="1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NumberFormat="1" applyFont="1"/>
    <xf numFmtId="49" fontId="2" fillId="4" borderId="0" xfId="0" applyNumberFormat="1" applyFont="1" applyFill="1"/>
    <xf numFmtId="0" fontId="1" fillId="7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2" xfId="0" applyNumberFormat="1" applyFill="1" applyBorder="1"/>
    <xf numFmtId="0" fontId="1" fillId="7" borderId="3" xfId="0" applyNumberFormat="1" applyFont="1" applyFill="1" applyBorder="1"/>
    <xf numFmtId="0" fontId="3" fillId="7" borderId="3" xfId="0" applyNumberFormat="1" applyFont="1" applyFill="1" applyBorder="1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1" fillId="10" borderId="1" xfId="0" applyNumberFormat="1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alignment horizontal="center" vertical="center" textRotation="0" wrapText="0" indent="0" justifyLastLine="0" shrinkToFit="0" readingOrder="0"/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83FD06-999C-4F5E-A007-09C0E62587F5}" name="Tabla4" displayName="Tabla4" ref="A1:B17" totalsRowShown="0">
  <autoFilter ref="A1:B17" xr:uid="{2383FD06-999C-4F5E-A007-09C0E62587F5}"/>
  <tableColumns count="2">
    <tableColumn id="1" xr3:uid="{BE60B5DA-8318-4AB5-9D1B-FE8B62ECC331}" name="IGGID"/>
    <tableColumn id="2" xr3:uid="{246E2110-F890-436F-A8D9-9BA7A164BF2C}" name="NOMB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4ABB73-A965-4143-93DB-69631A507507}" name="Tabla3" displayName="Tabla3" ref="A1:I116" totalsRowShown="0" headerRowDxfId="5">
  <tableColumns count="9">
    <tableColumn id="1" xr3:uid="{C07168B4-3E5A-416B-A539-55E14C285DAD}" name="#"/>
    <tableColumn id="2" xr3:uid="{5E4BCB2F-646B-4C2B-B92D-43B1AEA0D73A}" name="IGG ID"/>
    <tableColumn id="3" xr3:uid="{FB283967-749E-465E-9763-4CE14901EE35}" name="Nombre"/>
    <tableColumn id="4" xr3:uid="{B18E5B1C-351D-4489-A778-E9BA4FCF2BF6}" name="07/06/2026">
      <calculatedColumnFormula>IFERROR(VLOOKUP(B2,Caza!C:K,9,0), 0)</calculatedColumnFormula>
    </tableColumn>
    <tableColumn id="5" xr3:uid="{07027E1B-1160-4E4F-9E64-9FC65FC9ED54}" name="Columna4"/>
    <tableColumn id="6" xr3:uid="{74492488-3F82-4BC6-91A8-D303D5937F47}" name="Columna3"/>
    <tableColumn id="7" xr3:uid="{94644601-8D20-4CAC-B891-D73F16DC15EB}" name="Columna2"/>
    <tableColumn id="8" xr3:uid="{A097CCCF-A935-470C-B82C-453C41CE9485}" name="Columna1"/>
    <tableColumn id="9" xr3:uid="{615BA7EB-6FCE-46F7-BBC4-652D0360107D}" name="Total" dataDxfId="4">
      <calculatedColumnFormula>SUM(D2:H2)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B2F43-7829-468D-9065-8143D35B3B34}" name="Tabla1" displayName="Tabla1" ref="A1:D95" totalsRowShown="0">
  <autoFilter ref="A1:D95" xr:uid="{D73B2F43-7829-468D-9065-8143D35B3B34}"/>
  <tableColumns count="4">
    <tableColumn id="1" xr3:uid="{CB5710C2-5106-4430-A458-9273C358CC3C}" name="Nombre"/>
    <tableColumn id="2" xr3:uid="{C49DCD5C-6576-4B68-A5E7-1D691702C666}" name="Misiones completadas"/>
    <tableColumn id="3" xr3:uid="{178B4A18-CB44-4503-99B1-A09EE8997376}" name="Misiones tomadas"/>
    <tableColumn id="4" xr3:uid="{64871AE5-C151-4FF1-8C8E-B2C41A559ED2}" name="Punto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F7E7BE-38F6-4B00-98E6-9BAE379DD855}" name="Tabla6" displayName="Tabla6" ref="A1:C145" totalsRowShown="0">
  <autoFilter ref="A1:C145" xr:uid="{1BF7E7BE-38F6-4B00-98E6-9BAE379DD855}"/>
  <sortState xmlns:xlrd2="http://schemas.microsoft.com/office/spreadsheetml/2017/richdata2" ref="A2:C145">
    <sortCondition ref="B1:B145"/>
  </sortState>
  <tableColumns count="3">
    <tableColumn id="1" xr3:uid="{FA74F217-2BCD-400F-9FB1-E4F0C7A7FB5C}" name="IGG ID"/>
    <tableColumn id="2" xr3:uid="{17EFBCDB-5983-484A-9FD9-FF834E393FF6}" name="Nombre">
      <calculatedColumnFormula>VLOOKUP(Tabla6[[#This Row],[IGG ID]],Caza!C:D,2,0)</calculatedColumnFormula>
    </tableColumn>
    <tableColumn id="3" xr3:uid="{ECD11A76-DBDE-4AA8-B9C4-F344FCA3E8BA}" name="Num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6"/>
  <sheetViews>
    <sheetView tabSelected="1" topLeftCell="A19" workbookViewId="0">
      <selection activeCell="M1" sqref="M1"/>
    </sheetView>
  </sheetViews>
  <sheetFormatPr baseColWidth="10" defaultRowHeight="15.6" x14ac:dyDescent="0.3"/>
  <cols>
    <col min="1" max="1" width="9.8984375" bestFit="1" customWidth="1"/>
    <col min="2" max="2" width="10.5" bestFit="1" customWidth="1"/>
    <col min="3" max="3" width="10.8984375" bestFit="1" customWidth="1"/>
    <col min="4" max="4" width="13.8984375" bestFit="1" customWidth="1"/>
    <col min="5" max="5" width="9.19921875" customWidth="1"/>
    <col min="6" max="10" width="16.5" bestFit="1" customWidth="1"/>
    <col min="11" max="11" width="13.69921875" bestFit="1" customWidth="1"/>
    <col min="12" max="12" width="13.69921875" customWidth="1"/>
    <col min="13" max="13" width="7.296875" bestFit="1" customWidth="1"/>
    <col min="14" max="14" width="22.796875" bestFit="1" customWidth="1"/>
  </cols>
  <sheetData>
    <row r="1" spans="1:14" x14ac:dyDescent="0.3">
      <c r="D1" s="7" t="s">
        <v>4</v>
      </c>
      <c r="E1" s="25">
        <f t="shared" ref="E1:M1" si="0">SUM(E4:E106)</f>
        <v>2038</v>
      </c>
      <c r="F1" s="9">
        <f t="shared" si="0"/>
        <v>104</v>
      </c>
      <c r="G1" s="9">
        <f t="shared" si="0"/>
        <v>1524</v>
      </c>
      <c r="H1" s="9">
        <f t="shared" si="0"/>
        <v>374</v>
      </c>
      <c r="I1" s="9">
        <f t="shared" si="0"/>
        <v>36</v>
      </c>
      <c r="J1" s="26">
        <f t="shared" si="0"/>
        <v>0</v>
      </c>
      <c r="K1" s="16">
        <f t="shared" si="0"/>
        <v>3718</v>
      </c>
      <c r="L1" s="16">
        <f t="shared" si="0"/>
        <v>14414</v>
      </c>
      <c r="M1" s="17">
        <f t="shared" si="0"/>
        <v>556</v>
      </c>
    </row>
    <row r="3" spans="1:14" x14ac:dyDescent="0.3">
      <c r="A3" s="6" t="s">
        <v>0</v>
      </c>
      <c r="B3" s="6" t="s">
        <v>1</v>
      </c>
      <c r="C3" s="6" t="s">
        <v>2</v>
      </c>
      <c r="D3" s="6" t="s">
        <v>3</v>
      </c>
      <c r="E3" s="7" t="s">
        <v>117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4" t="s">
        <v>10</v>
      </c>
      <c r="L3" s="4" t="s">
        <v>11</v>
      </c>
      <c r="M3" s="15" t="s">
        <v>136</v>
      </c>
      <c r="N3" s="3" t="s">
        <v>119</v>
      </c>
    </row>
    <row r="4" spans="1:14" x14ac:dyDescent="0.3">
      <c r="A4" s="5" t="str">
        <f>IF(ISERROR(VLOOKUP(C4,'Caza lvl 1'!A:A,1,0)),"5lvl2","5lvl1")</f>
        <v>5lvl2</v>
      </c>
      <c r="B4" s="19" t="str">
        <f t="shared" ref="B4:B35" si="1">_xlfn.IFS(A4 = "5lvl2",IF(K4&gt;=35,"Cumplio", "No cumplio"),A4 = "5lvl1",IF(L4&gt;= 35,"Cumplio","No cumplio"))</f>
        <v>Cumplio</v>
      </c>
      <c r="C4" s="22">
        <v>416845218</v>
      </c>
      <c r="D4" s="22" t="s">
        <v>14</v>
      </c>
      <c r="E4" s="24">
        <f>SUM(F4:J4)</f>
        <v>30</v>
      </c>
      <c r="F4" s="23">
        <v>0</v>
      </c>
      <c r="G4" s="23">
        <v>27</v>
      </c>
      <c r="H4" s="23">
        <v>3</v>
      </c>
      <c r="I4" s="23">
        <v>0</v>
      </c>
      <c r="J4" s="23">
        <v>0</v>
      </c>
      <c r="K4" s="20">
        <f t="shared" ref="K4:K35" si="2">(H4*5)+(I4*9)+(J4*18)+G4</f>
        <v>42</v>
      </c>
      <c r="L4" s="11">
        <f t="shared" ref="L4:L35" si="3">(G4*5)+(H4*15)+(I4*30)+(J4*70)+F4</f>
        <v>180</v>
      </c>
      <c r="M4" s="2" cm="1">
        <f t="array" ref="M4">_xlfn.IFS(A4="5lvl2",IF(K4&gt;=35,0,35-K4), A4="5lvl1",IF(L4&gt;=35,0,35-L4))</f>
        <v>0</v>
      </c>
      <c r="N4" t="s">
        <v>160</v>
      </c>
    </row>
    <row r="5" spans="1:14" x14ac:dyDescent="0.3">
      <c r="A5" s="5" t="str">
        <f>IF(ISERROR(VLOOKUP(C5,'Caza lvl 1'!A:A,1,0)),"5lvl2","5lvl1")</f>
        <v>5lvl2</v>
      </c>
      <c r="B5" s="19" t="str">
        <f t="shared" si="1"/>
        <v>No cumplio</v>
      </c>
      <c r="C5" s="22">
        <v>0</v>
      </c>
      <c r="D5" s="22" t="s">
        <v>159</v>
      </c>
      <c r="E5" s="24">
        <f t="shared" ref="E5:E68" si="4">SUM(F5:J5)</f>
        <v>2</v>
      </c>
      <c r="F5" s="23">
        <v>0</v>
      </c>
      <c r="G5" s="23">
        <v>2</v>
      </c>
      <c r="H5" s="23">
        <v>0</v>
      </c>
      <c r="I5" s="23">
        <v>0</v>
      </c>
      <c r="J5" s="23">
        <v>0</v>
      </c>
      <c r="K5" s="20">
        <f t="shared" si="2"/>
        <v>2</v>
      </c>
      <c r="L5" s="11">
        <f t="shared" si="3"/>
        <v>10</v>
      </c>
      <c r="M5" s="2" cm="1">
        <f t="array" ref="M5">_xlfn.IFS(A5="5lvl2",IF(K5&gt;=35,0,35-K5), A5="5lvl1",IF(L5&gt;=35,0,35-L5))</f>
        <v>33</v>
      </c>
    </row>
    <row r="6" spans="1:14" x14ac:dyDescent="0.3">
      <c r="A6" s="5" t="str">
        <f>IF(ISERROR(VLOOKUP(C6,'Caza lvl 1'!A:A,1,0)),"5lvl2","5lvl1")</f>
        <v>5lvl2</v>
      </c>
      <c r="B6" s="19" t="str">
        <f t="shared" si="1"/>
        <v>Cumplio</v>
      </c>
      <c r="C6" s="22">
        <v>346561690</v>
      </c>
      <c r="D6" s="22" t="s">
        <v>16</v>
      </c>
      <c r="E6" s="24">
        <f t="shared" si="4"/>
        <v>14</v>
      </c>
      <c r="F6" s="23">
        <v>0</v>
      </c>
      <c r="G6" s="23">
        <v>3</v>
      </c>
      <c r="H6" s="23">
        <v>11</v>
      </c>
      <c r="I6" s="23">
        <v>0</v>
      </c>
      <c r="J6" s="23">
        <v>0</v>
      </c>
      <c r="K6" s="20">
        <f t="shared" si="2"/>
        <v>58</v>
      </c>
      <c r="L6" s="11">
        <f t="shared" si="3"/>
        <v>180</v>
      </c>
      <c r="M6" s="2" cm="1">
        <f t="array" ref="M6">_xlfn.IFS(A6="5lvl2",IF(K6&gt;=35,0,35-K6), A6="5lvl1",IF(L6&gt;=35,0,35-L6))</f>
        <v>0</v>
      </c>
    </row>
    <row r="7" spans="1:14" x14ac:dyDescent="0.3">
      <c r="A7" s="5" t="str">
        <f>IF(ISERROR(VLOOKUP(C7,'Caza lvl 1'!A:A,1,0)),"5lvl2","5lvl1")</f>
        <v>5lvl2</v>
      </c>
      <c r="B7" s="19" t="str">
        <f t="shared" si="1"/>
        <v>Cumplio</v>
      </c>
      <c r="C7" s="22">
        <v>365438142</v>
      </c>
      <c r="D7" s="22" t="s">
        <v>17</v>
      </c>
      <c r="E7" s="24">
        <f t="shared" si="4"/>
        <v>14</v>
      </c>
      <c r="F7" s="23">
        <v>0</v>
      </c>
      <c r="G7" s="23">
        <v>7</v>
      </c>
      <c r="H7" s="23">
        <v>7</v>
      </c>
      <c r="I7" s="23">
        <v>0</v>
      </c>
      <c r="J7" s="23">
        <v>0</v>
      </c>
      <c r="K7" s="20">
        <f t="shared" si="2"/>
        <v>42</v>
      </c>
      <c r="L7" s="11">
        <f t="shared" si="3"/>
        <v>140</v>
      </c>
      <c r="M7" s="2" cm="1">
        <f t="array" ref="M7">_xlfn.IFS(A7="5lvl2",IF(K7&gt;=35,0,35-K7), A7="5lvl1",IF(L7&gt;=35,0,35-L7))</f>
        <v>0</v>
      </c>
    </row>
    <row r="8" spans="1:14" x14ac:dyDescent="0.3">
      <c r="A8" s="5" t="str">
        <f>IF(ISERROR(VLOOKUP(C8,'Caza lvl 1'!A:A,1,0)),"5lvl2","5lvl1")</f>
        <v>5lvl2</v>
      </c>
      <c r="B8" s="19" t="str">
        <f t="shared" si="1"/>
        <v>No cumplio</v>
      </c>
      <c r="C8" s="22">
        <v>0</v>
      </c>
      <c r="D8" s="22" t="s">
        <v>20</v>
      </c>
      <c r="E8" s="24">
        <f t="shared" si="4"/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0">
        <f t="shared" si="2"/>
        <v>0</v>
      </c>
      <c r="L8" s="11">
        <f t="shared" si="3"/>
        <v>0</v>
      </c>
      <c r="M8" s="2" cm="1">
        <f t="array" ref="M8">_xlfn.IFS(A8="5lvl2",IF(K8&gt;=35,0,35-K8), A8="5lvl1",IF(L8&gt;=35,0,35-L8))</f>
        <v>35</v>
      </c>
    </row>
    <row r="9" spans="1:14" x14ac:dyDescent="0.3">
      <c r="A9" s="5" t="str">
        <f>IF(ISERROR(VLOOKUP(C9,'Caza lvl 1'!A:A,1,0)),"5lvl2","5lvl1")</f>
        <v>5lvl2</v>
      </c>
      <c r="B9" s="19" t="str">
        <f t="shared" si="1"/>
        <v>Cumplio</v>
      </c>
      <c r="C9" s="22">
        <v>326455645</v>
      </c>
      <c r="D9" s="22" t="s">
        <v>21</v>
      </c>
      <c r="E9" s="24">
        <f t="shared" si="4"/>
        <v>14</v>
      </c>
      <c r="F9" s="23">
        <v>0</v>
      </c>
      <c r="G9" s="23">
        <v>11</v>
      </c>
      <c r="H9" s="23">
        <v>0</v>
      </c>
      <c r="I9" s="23">
        <v>3</v>
      </c>
      <c r="J9" s="23">
        <v>0</v>
      </c>
      <c r="K9" s="20">
        <f t="shared" si="2"/>
        <v>38</v>
      </c>
      <c r="L9" s="11">
        <f t="shared" si="3"/>
        <v>145</v>
      </c>
      <c r="M9" s="2" cm="1">
        <f t="array" ref="M9">_xlfn.IFS(A9="5lvl2",IF(K9&gt;=35,0,35-K9), A9="5lvl1",IF(L9&gt;=35,0,35-L9))</f>
        <v>0</v>
      </c>
    </row>
    <row r="10" spans="1:14" x14ac:dyDescent="0.3">
      <c r="A10" s="5" t="str">
        <f>IF(ISERROR(VLOOKUP(C10,'Caza lvl 1'!A:A,1,0)),"5lvl2","5lvl1")</f>
        <v>5lvl1</v>
      </c>
      <c r="B10" s="19" t="str">
        <f t="shared" si="1"/>
        <v>Cumplio</v>
      </c>
      <c r="C10" s="22">
        <v>2115871936</v>
      </c>
      <c r="D10" s="22" t="s">
        <v>22</v>
      </c>
      <c r="E10" s="24">
        <f t="shared" si="4"/>
        <v>23</v>
      </c>
      <c r="F10" s="23">
        <v>20</v>
      </c>
      <c r="G10" s="23">
        <v>3</v>
      </c>
      <c r="H10" s="23">
        <v>0</v>
      </c>
      <c r="I10" s="23">
        <v>0</v>
      </c>
      <c r="J10" s="23">
        <v>0</v>
      </c>
      <c r="K10" s="20">
        <f t="shared" si="2"/>
        <v>3</v>
      </c>
      <c r="L10" s="11">
        <f t="shared" si="3"/>
        <v>35</v>
      </c>
      <c r="M10" s="2" cm="1">
        <f t="array" ref="M10">_xlfn.IFS(A10="5lvl2",IF(K10&gt;=35,0,35-K10), A10="5lvl1",IF(L10&gt;=35,0,35-L10))</f>
        <v>0</v>
      </c>
    </row>
    <row r="11" spans="1:14" x14ac:dyDescent="0.3">
      <c r="A11" s="5" t="str">
        <f>IF(ISERROR(VLOOKUP(C11,'Caza lvl 1'!A:A,1,0)),"5lvl2","5lvl1")</f>
        <v>5lvl1</v>
      </c>
      <c r="B11" s="19" t="str">
        <f t="shared" si="1"/>
        <v>Cumplio</v>
      </c>
      <c r="C11" s="22">
        <v>2024927090</v>
      </c>
      <c r="D11" s="22" t="s">
        <v>23</v>
      </c>
      <c r="E11" s="24">
        <f t="shared" si="4"/>
        <v>5</v>
      </c>
      <c r="F11" s="23">
        <v>0</v>
      </c>
      <c r="G11" s="23">
        <v>4</v>
      </c>
      <c r="H11" s="23">
        <v>1</v>
      </c>
      <c r="I11" s="23">
        <v>0</v>
      </c>
      <c r="J11" s="23">
        <v>0</v>
      </c>
      <c r="K11" s="20">
        <f t="shared" si="2"/>
        <v>9</v>
      </c>
      <c r="L11" s="11">
        <f t="shared" si="3"/>
        <v>35</v>
      </c>
      <c r="M11" s="2" cm="1">
        <f t="array" ref="M11">_xlfn.IFS(A11="5lvl2",IF(K11&gt;=35,0,35-K11), A11="5lvl1",IF(L11&gt;=35,0,35-L11))</f>
        <v>0</v>
      </c>
    </row>
    <row r="12" spans="1:14" x14ac:dyDescent="0.3">
      <c r="A12" s="5" t="str">
        <f>IF(ISERROR(VLOOKUP(C12,'Caza lvl 1'!A:A,1,0)),"5lvl2","5lvl1")</f>
        <v>5lvl1</v>
      </c>
      <c r="B12" s="19" t="str">
        <f t="shared" si="1"/>
        <v>Cumplio</v>
      </c>
      <c r="C12" s="22">
        <v>1483867967</v>
      </c>
      <c r="D12" s="22" t="s">
        <v>24</v>
      </c>
      <c r="E12" s="24">
        <f t="shared" si="4"/>
        <v>8</v>
      </c>
      <c r="F12" s="23">
        <v>0</v>
      </c>
      <c r="G12" s="23">
        <v>7</v>
      </c>
      <c r="H12" s="23">
        <v>1</v>
      </c>
      <c r="I12" s="23">
        <v>0</v>
      </c>
      <c r="J12" s="23">
        <v>0</v>
      </c>
      <c r="K12" s="20">
        <f t="shared" si="2"/>
        <v>12</v>
      </c>
      <c r="L12" s="11">
        <f t="shared" si="3"/>
        <v>50</v>
      </c>
      <c r="M12" s="2" cm="1">
        <f t="array" ref="M12">_xlfn.IFS(A12="5lvl2",IF(K12&gt;=35,0,35-K12), A12="5lvl1",IF(L12&gt;=35,0,35-L12))</f>
        <v>0</v>
      </c>
    </row>
    <row r="13" spans="1:14" x14ac:dyDescent="0.3">
      <c r="A13" s="5" t="str">
        <f>IF(ISERROR(VLOOKUP(C13,'Caza lvl 1'!A:A,1,0)),"5lvl2","5lvl1")</f>
        <v>5lvl2</v>
      </c>
      <c r="B13" s="19" t="str">
        <f t="shared" si="1"/>
        <v>Cumplio</v>
      </c>
      <c r="C13" s="22">
        <v>357402771</v>
      </c>
      <c r="D13" s="22" t="s">
        <v>26</v>
      </c>
      <c r="E13" s="24">
        <f t="shared" si="4"/>
        <v>23</v>
      </c>
      <c r="F13" s="23">
        <v>0</v>
      </c>
      <c r="G13" s="23">
        <v>21</v>
      </c>
      <c r="H13" s="23">
        <v>1</v>
      </c>
      <c r="I13" s="23">
        <v>1</v>
      </c>
      <c r="J13" s="23">
        <v>0</v>
      </c>
      <c r="K13" s="20">
        <f t="shared" si="2"/>
        <v>35</v>
      </c>
      <c r="L13" s="11">
        <f t="shared" si="3"/>
        <v>150</v>
      </c>
      <c r="M13" s="2" cm="1">
        <f t="array" ref="M13">_xlfn.IFS(A13="5lvl2",IF(K13&gt;=35,0,35-K13), A13="5lvl1",IF(L13&gt;=35,0,35-L13))</f>
        <v>0</v>
      </c>
    </row>
    <row r="14" spans="1:14" x14ac:dyDescent="0.3">
      <c r="A14" s="5" t="str">
        <f>IF(ISERROR(VLOOKUP(C14,'Caza lvl 1'!A:A,1,0)),"5lvl2","5lvl1")</f>
        <v>5lvl2</v>
      </c>
      <c r="B14" s="19" t="str">
        <f t="shared" si="1"/>
        <v>No cumplio</v>
      </c>
      <c r="C14" s="22">
        <v>1041405085</v>
      </c>
      <c r="D14" s="22" t="s">
        <v>27</v>
      </c>
      <c r="E14" s="24">
        <f t="shared" si="4"/>
        <v>25</v>
      </c>
      <c r="F14" s="23">
        <v>0</v>
      </c>
      <c r="G14" s="23">
        <v>25</v>
      </c>
      <c r="H14" s="23">
        <v>0</v>
      </c>
      <c r="I14" s="23">
        <v>0</v>
      </c>
      <c r="J14" s="23">
        <v>0</v>
      </c>
      <c r="K14" s="20">
        <f t="shared" si="2"/>
        <v>25</v>
      </c>
      <c r="L14" s="11">
        <f t="shared" si="3"/>
        <v>125</v>
      </c>
      <c r="M14" s="2" cm="1">
        <f t="array" ref="M14">_xlfn.IFS(A14="5lvl2",IF(K14&gt;=35,0,35-K14), A14="5lvl1",IF(L14&gt;=35,0,35-L14))</f>
        <v>10</v>
      </c>
    </row>
    <row r="15" spans="1:14" x14ac:dyDescent="0.3">
      <c r="A15" s="5" t="str">
        <f>IF(ISERROR(VLOOKUP(C15,'Caza lvl 1'!A:A,1,0)),"5lvl2","5lvl1")</f>
        <v>5lvl2</v>
      </c>
      <c r="B15" s="19" t="str">
        <f t="shared" si="1"/>
        <v>Cumplio</v>
      </c>
      <c r="C15" s="22">
        <v>527890484</v>
      </c>
      <c r="D15" s="22" t="s">
        <v>29</v>
      </c>
      <c r="E15" s="24">
        <f t="shared" si="4"/>
        <v>61</v>
      </c>
      <c r="F15" s="23">
        <v>0</v>
      </c>
      <c r="G15" s="23">
        <v>54</v>
      </c>
      <c r="H15" s="23">
        <v>7</v>
      </c>
      <c r="I15" s="23">
        <v>0</v>
      </c>
      <c r="J15" s="23">
        <v>0</v>
      </c>
      <c r="K15" s="20">
        <f t="shared" si="2"/>
        <v>89</v>
      </c>
      <c r="L15" s="11">
        <f t="shared" si="3"/>
        <v>375</v>
      </c>
      <c r="M15" s="2" cm="1">
        <f t="array" ref="M15">_xlfn.IFS(A15="5lvl2",IF(K15&gt;=35,0,35-K15), A15="5lvl1",IF(L15&gt;=35,0,35-L15))</f>
        <v>0</v>
      </c>
    </row>
    <row r="16" spans="1:14" x14ac:dyDescent="0.3">
      <c r="A16" s="5" t="str">
        <f>IF(ISERROR(VLOOKUP(C16,'Caza lvl 1'!A:A,1,0)),"5lvl2","5lvl1")</f>
        <v>5lvl2</v>
      </c>
      <c r="B16" s="19" t="str">
        <f t="shared" si="1"/>
        <v>Cumplio</v>
      </c>
      <c r="C16" s="22">
        <v>1036786251</v>
      </c>
      <c r="D16" s="22" t="s">
        <v>30</v>
      </c>
      <c r="E16" s="24">
        <f t="shared" si="4"/>
        <v>17</v>
      </c>
      <c r="F16" s="23">
        <v>0</v>
      </c>
      <c r="G16" s="23">
        <v>8</v>
      </c>
      <c r="H16" s="23">
        <v>9</v>
      </c>
      <c r="I16" s="23">
        <v>0</v>
      </c>
      <c r="J16" s="23">
        <v>0</v>
      </c>
      <c r="K16" s="20">
        <f t="shared" si="2"/>
        <v>53</v>
      </c>
      <c r="L16" s="11">
        <f t="shared" si="3"/>
        <v>175</v>
      </c>
      <c r="M16" s="2" cm="1">
        <f t="array" ref="M16">_xlfn.IFS(A16="5lvl2",IF(K16&gt;=35,0,35-K16), A16="5lvl1",IF(L16&gt;=35,0,35-L16))</f>
        <v>0</v>
      </c>
    </row>
    <row r="17" spans="1:13" x14ac:dyDescent="0.3">
      <c r="A17" s="5" t="str">
        <f>IF(ISERROR(VLOOKUP(C17,'Caza lvl 1'!A:A,1,0)),"5lvl2","5lvl1")</f>
        <v>5lvl2</v>
      </c>
      <c r="B17" s="19" t="str">
        <f t="shared" si="1"/>
        <v>Cumplio</v>
      </c>
      <c r="C17" s="22">
        <v>747071768</v>
      </c>
      <c r="D17" s="22" t="s">
        <v>32</v>
      </c>
      <c r="E17" s="24">
        <f t="shared" si="4"/>
        <v>36</v>
      </c>
      <c r="F17" s="23">
        <v>0</v>
      </c>
      <c r="G17" s="23">
        <v>36</v>
      </c>
      <c r="H17" s="23">
        <v>0</v>
      </c>
      <c r="I17" s="23">
        <v>0</v>
      </c>
      <c r="J17" s="23">
        <v>0</v>
      </c>
      <c r="K17" s="20">
        <f t="shared" si="2"/>
        <v>36</v>
      </c>
      <c r="L17" s="11">
        <f t="shared" si="3"/>
        <v>180</v>
      </c>
      <c r="M17" s="2" cm="1">
        <f t="array" ref="M17">_xlfn.IFS(A17="5lvl2",IF(K17&gt;=35,0,35-K17), A17="5lvl1",IF(L17&gt;=35,0,35-L17))</f>
        <v>0</v>
      </c>
    </row>
    <row r="18" spans="1:13" x14ac:dyDescent="0.3">
      <c r="A18" s="5" t="str">
        <f>IF(ISERROR(VLOOKUP(C18,'Caza lvl 1'!A:A,1,0)),"5lvl2","5lvl1")</f>
        <v>5lvl2</v>
      </c>
      <c r="B18" s="19" t="str">
        <f t="shared" si="1"/>
        <v>No cumplio</v>
      </c>
      <c r="C18" s="22">
        <v>648763948</v>
      </c>
      <c r="D18" s="22" t="s">
        <v>33</v>
      </c>
      <c r="E18" s="24">
        <f t="shared" si="4"/>
        <v>1</v>
      </c>
      <c r="F18" s="23">
        <v>0</v>
      </c>
      <c r="G18" s="23">
        <v>0</v>
      </c>
      <c r="H18" s="23">
        <v>1</v>
      </c>
      <c r="I18" s="23">
        <v>0</v>
      </c>
      <c r="J18" s="23">
        <v>0</v>
      </c>
      <c r="K18" s="20">
        <f t="shared" si="2"/>
        <v>5</v>
      </c>
      <c r="L18" s="11">
        <f t="shared" si="3"/>
        <v>15</v>
      </c>
      <c r="M18" s="2" cm="1">
        <f t="array" ref="M18">_xlfn.IFS(A18="5lvl2",IF(K18&gt;=35,0,35-K18), A18="5lvl1",IF(L18&gt;=35,0,35-L18))</f>
        <v>30</v>
      </c>
    </row>
    <row r="19" spans="1:13" x14ac:dyDescent="0.3">
      <c r="A19" s="5" t="str">
        <f>IF(ISERROR(VLOOKUP(C19,'Caza lvl 1'!A:A,1,0)),"5lvl2","5lvl1")</f>
        <v>5lvl2</v>
      </c>
      <c r="B19" s="19" t="str">
        <f t="shared" si="1"/>
        <v>Cumplio</v>
      </c>
      <c r="C19" s="22">
        <v>611721390</v>
      </c>
      <c r="D19" s="22" t="s">
        <v>34</v>
      </c>
      <c r="E19" s="24">
        <f t="shared" si="4"/>
        <v>25</v>
      </c>
      <c r="F19" s="23">
        <v>0</v>
      </c>
      <c r="G19" s="23">
        <v>22</v>
      </c>
      <c r="H19" s="23">
        <v>3</v>
      </c>
      <c r="I19" s="23">
        <v>0</v>
      </c>
      <c r="J19" s="23">
        <v>0</v>
      </c>
      <c r="K19" s="20">
        <f t="shared" si="2"/>
        <v>37</v>
      </c>
      <c r="L19" s="11">
        <f t="shared" si="3"/>
        <v>155</v>
      </c>
      <c r="M19" s="2" cm="1">
        <f t="array" ref="M19">_xlfn.IFS(A19="5lvl2",IF(K19&gt;=35,0,35-K19), A19="5lvl1",IF(L19&gt;=35,0,35-L19))</f>
        <v>0</v>
      </c>
    </row>
    <row r="20" spans="1:13" x14ac:dyDescent="0.3">
      <c r="A20" s="5" t="str">
        <f>IF(ISERROR(VLOOKUP(C20,'Caza lvl 1'!A:A,1,0)),"5lvl2","5lvl1")</f>
        <v>5lvl1</v>
      </c>
      <c r="B20" s="19" t="str">
        <f t="shared" si="1"/>
        <v>No cumplio</v>
      </c>
      <c r="C20" s="22">
        <v>1390607562</v>
      </c>
      <c r="D20" s="22" t="s">
        <v>128</v>
      </c>
      <c r="E20" s="24">
        <f t="shared" si="4"/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0">
        <f t="shared" si="2"/>
        <v>0</v>
      </c>
      <c r="L20" s="11">
        <f t="shared" si="3"/>
        <v>0</v>
      </c>
      <c r="M20" s="2" cm="1">
        <f t="array" ref="M20">_xlfn.IFS(A20="5lvl2",IF(K20&gt;=35,0,35-K20), A20="5lvl1",IF(L20&gt;=35,0,35-L20))</f>
        <v>35</v>
      </c>
    </row>
    <row r="21" spans="1:13" x14ac:dyDescent="0.3">
      <c r="A21" s="5" t="str">
        <f>IF(ISERROR(VLOOKUP(C21,'Caza lvl 1'!A:A,1,0)),"5lvl2","5lvl1")</f>
        <v>5lvl2</v>
      </c>
      <c r="B21" s="19" t="str">
        <f t="shared" si="1"/>
        <v>Cumplio</v>
      </c>
      <c r="C21" s="22">
        <v>881905775</v>
      </c>
      <c r="D21" s="22" t="s">
        <v>35</v>
      </c>
      <c r="E21" s="24">
        <f t="shared" si="4"/>
        <v>25</v>
      </c>
      <c r="F21" s="23">
        <v>0</v>
      </c>
      <c r="G21" s="23">
        <v>19</v>
      </c>
      <c r="H21" s="23">
        <v>6</v>
      </c>
      <c r="I21" s="23">
        <v>0</v>
      </c>
      <c r="J21" s="23">
        <v>0</v>
      </c>
      <c r="K21" s="20">
        <f t="shared" si="2"/>
        <v>49</v>
      </c>
      <c r="L21" s="11">
        <f t="shared" si="3"/>
        <v>185</v>
      </c>
      <c r="M21" s="2" cm="1">
        <f t="array" ref="M21">_xlfn.IFS(A21="5lvl2",IF(K21&gt;=35,0,35-K21), A21="5lvl1",IF(L21&gt;=35,0,35-L21))</f>
        <v>0</v>
      </c>
    </row>
    <row r="22" spans="1:13" x14ac:dyDescent="0.3">
      <c r="A22" s="5" t="str">
        <f>IF(ISERROR(VLOOKUP(C22,'Caza lvl 1'!A:A,1,0)),"5lvl2","5lvl1")</f>
        <v>5lvl2</v>
      </c>
      <c r="B22" s="19" t="str">
        <f t="shared" si="1"/>
        <v>Cumplio</v>
      </c>
      <c r="C22" s="22">
        <v>471968668</v>
      </c>
      <c r="D22" s="22" t="s">
        <v>36</v>
      </c>
      <c r="E22" s="24">
        <f t="shared" si="4"/>
        <v>26</v>
      </c>
      <c r="F22" s="23">
        <v>0</v>
      </c>
      <c r="G22" s="23">
        <v>21</v>
      </c>
      <c r="H22" s="23">
        <v>3</v>
      </c>
      <c r="I22" s="23">
        <v>2</v>
      </c>
      <c r="J22" s="23">
        <v>0</v>
      </c>
      <c r="K22" s="20">
        <f t="shared" si="2"/>
        <v>54</v>
      </c>
      <c r="L22" s="11">
        <f t="shared" si="3"/>
        <v>210</v>
      </c>
      <c r="M22" s="2" cm="1">
        <f t="array" ref="M22">_xlfn.IFS(A22="5lvl2",IF(K22&gt;=35,0,35-K22), A22="5lvl1",IF(L22&gt;=35,0,35-L22))</f>
        <v>0</v>
      </c>
    </row>
    <row r="23" spans="1:13" x14ac:dyDescent="0.3">
      <c r="A23" s="5" t="str">
        <f>IF(ISERROR(VLOOKUP(C23,'Caza lvl 1'!A:A,1,0)),"5lvl2","5lvl1")</f>
        <v>5lvl2</v>
      </c>
      <c r="B23" s="19" t="str">
        <f t="shared" si="1"/>
        <v>No cumplio</v>
      </c>
      <c r="C23" s="22">
        <v>0</v>
      </c>
      <c r="D23" s="22" t="s">
        <v>158</v>
      </c>
      <c r="E23" s="24">
        <f t="shared" si="4"/>
        <v>1</v>
      </c>
      <c r="F23" s="23">
        <v>0</v>
      </c>
      <c r="G23" s="23">
        <v>0</v>
      </c>
      <c r="H23" s="23">
        <v>1</v>
      </c>
      <c r="I23" s="23">
        <v>0</v>
      </c>
      <c r="J23" s="23">
        <v>0</v>
      </c>
      <c r="K23" s="20">
        <f t="shared" si="2"/>
        <v>5</v>
      </c>
      <c r="L23" s="11">
        <f t="shared" si="3"/>
        <v>15</v>
      </c>
      <c r="M23" s="2" cm="1">
        <f t="array" ref="M23">_xlfn.IFS(A23="5lvl2",IF(K23&gt;=35,0,35-K23), A23="5lvl1",IF(L23&gt;=35,0,35-L23))</f>
        <v>30</v>
      </c>
    </row>
    <row r="24" spans="1:13" x14ac:dyDescent="0.3">
      <c r="A24" s="5" t="str">
        <f>IF(ISERROR(VLOOKUP(C24,'Caza lvl 1'!A:A,1,0)),"5lvl2","5lvl1")</f>
        <v>5lvl2</v>
      </c>
      <c r="B24" s="19" t="str">
        <f t="shared" si="1"/>
        <v>Cumplio</v>
      </c>
      <c r="C24" s="22">
        <v>648809825</v>
      </c>
      <c r="D24" s="22" t="s">
        <v>38</v>
      </c>
      <c r="E24" s="24">
        <f t="shared" si="4"/>
        <v>35</v>
      </c>
      <c r="F24" s="23">
        <v>0</v>
      </c>
      <c r="G24" s="23">
        <v>32</v>
      </c>
      <c r="H24" s="23">
        <v>3</v>
      </c>
      <c r="I24" s="23">
        <v>0</v>
      </c>
      <c r="J24" s="23">
        <v>0</v>
      </c>
      <c r="K24" s="20">
        <f t="shared" si="2"/>
        <v>47</v>
      </c>
      <c r="L24" s="11">
        <f t="shared" si="3"/>
        <v>205</v>
      </c>
      <c r="M24" s="2" cm="1">
        <f t="array" ref="M24">_xlfn.IFS(A24="5lvl2",IF(K24&gt;=35,0,35-K24), A24="5lvl1",IF(L24&gt;=35,0,35-L24))</f>
        <v>0</v>
      </c>
    </row>
    <row r="25" spans="1:13" x14ac:dyDescent="0.3">
      <c r="A25" s="5" t="str">
        <f>IF(ISERROR(VLOOKUP(C25,'Caza lvl 1'!A:A,1,0)),"5lvl2","5lvl1")</f>
        <v>5lvl2</v>
      </c>
      <c r="B25" s="19" t="str">
        <f t="shared" si="1"/>
        <v>Cumplio</v>
      </c>
      <c r="C25" s="22">
        <v>412543735</v>
      </c>
      <c r="D25" s="22" t="s">
        <v>39</v>
      </c>
      <c r="E25" s="24">
        <f t="shared" si="4"/>
        <v>8</v>
      </c>
      <c r="F25" s="23">
        <v>0</v>
      </c>
      <c r="G25" s="23">
        <v>0</v>
      </c>
      <c r="H25" s="23">
        <v>8</v>
      </c>
      <c r="I25" s="23">
        <v>0</v>
      </c>
      <c r="J25" s="23">
        <v>0</v>
      </c>
      <c r="K25" s="20">
        <f t="shared" si="2"/>
        <v>40</v>
      </c>
      <c r="L25" s="11">
        <f t="shared" si="3"/>
        <v>120</v>
      </c>
      <c r="M25" s="2" cm="1">
        <f t="array" ref="M25">_xlfn.IFS(A25="5lvl2",IF(K25&gt;=35,0,35-K25), A25="5lvl1",IF(L25&gt;=35,0,35-L25))</f>
        <v>0</v>
      </c>
    </row>
    <row r="26" spans="1:13" x14ac:dyDescent="0.3">
      <c r="A26" s="5" t="str">
        <f>IF(ISERROR(VLOOKUP(C26,'Caza lvl 1'!A:A,1,0)),"5lvl2","5lvl1")</f>
        <v>5lvl2</v>
      </c>
      <c r="B26" s="19" t="str">
        <f t="shared" si="1"/>
        <v>No cumplio</v>
      </c>
      <c r="C26" s="22">
        <v>689818698</v>
      </c>
      <c r="D26" s="22" t="s">
        <v>155</v>
      </c>
      <c r="E26" s="24">
        <f t="shared" si="4"/>
        <v>16</v>
      </c>
      <c r="F26" s="23">
        <v>0</v>
      </c>
      <c r="G26" s="23">
        <v>14</v>
      </c>
      <c r="H26" s="23">
        <v>2</v>
      </c>
      <c r="I26" s="23">
        <v>0</v>
      </c>
      <c r="J26" s="23">
        <v>0</v>
      </c>
      <c r="K26" s="20">
        <f t="shared" si="2"/>
        <v>24</v>
      </c>
      <c r="L26" s="11">
        <f t="shared" si="3"/>
        <v>100</v>
      </c>
      <c r="M26" s="2" cm="1">
        <f t="array" ref="M26">_xlfn.IFS(A26="5lvl2",IF(K26&gt;=35,0,35-K26), A26="5lvl1",IF(L26&gt;=35,0,35-L26))</f>
        <v>11</v>
      </c>
    </row>
    <row r="27" spans="1:13" x14ac:dyDescent="0.3">
      <c r="A27" s="5" t="str">
        <f>IF(ISERROR(VLOOKUP(C27,'Caza lvl 1'!A:A,1,0)),"5lvl2","5lvl1")</f>
        <v>5lvl2</v>
      </c>
      <c r="B27" s="19" t="str">
        <f t="shared" si="1"/>
        <v>No cumplio</v>
      </c>
      <c r="C27" s="22">
        <v>1401689756</v>
      </c>
      <c r="D27" s="22" t="s">
        <v>156</v>
      </c>
      <c r="E27" s="24">
        <f t="shared" si="4"/>
        <v>26</v>
      </c>
      <c r="F27" s="23">
        <v>0</v>
      </c>
      <c r="G27" s="23">
        <v>25</v>
      </c>
      <c r="H27" s="23">
        <v>1</v>
      </c>
      <c r="I27" s="23">
        <v>0</v>
      </c>
      <c r="J27" s="23">
        <v>0</v>
      </c>
      <c r="K27" s="20">
        <f t="shared" si="2"/>
        <v>30</v>
      </c>
      <c r="L27" s="11">
        <f t="shared" si="3"/>
        <v>140</v>
      </c>
      <c r="M27" s="2" cm="1">
        <f t="array" ref="M27">_xlfn.IFS(A27="5lvl2",IF(K27&gt;=35,0,35-K27), A27="5lvl1",IF(L27&gt;=35,0,35-L27))</f>
        <v>5</v>
      </c>
    </row>
    <row r="28" spans="1:13" x14ac:dyDescent="0.3">
      <c r="A28" s="5" t="str">
        <f>IF(ISERROR(VLOOKUP(C28,'Caza lvl 1'!A:A,1,0)),"5lvl2","5lvl1")</f>
        <v>5lvl2</v>
      </c>
      <c r="B28" s="19" t="str">
        <f t="shared" si="1"/>
        <v>No cumplio</v>
      </c>
      <c r="C28" s="22">
        <v>723725687</v>
      </c>
      <c r="D28" s="22" t="s">
        <v>40</v>
      </c>
      <c r="E28" s="24">
        <f t="shared" si="4"/>
        <v>30</v>
      </c>
      <c r="F28" s="23">
        <v>0</v>
      </c>
      <c r="G28" s="23">
        <v>30</v>
      </c>
      <c r="H28" s="23">
        <v>0</v>
      </c>
      <c r="I28" s="23">
        <v>0</v>
      </c>
      <c r="J28" s="23">
        <v>0</v>
      </c>
      <c r="K28" s="21">
        <f t="shared" si="2"/>
        <v>30</v>
      </c>
      <c r="L28" s="11">
        <f t="shared" si="3"/>
        <v>150</v>
      </c>
      <c r="M28" s="2" cm="1">
        <f t="array" ref="M28">_xlfn.IFS(A28="5lvl2",IF(K28&gt;=35,0,35-K28), A28="5lvl1",IF(L28&gt;=35,0,35-L28))</f>
        <v>5</v>
      </c>
    </row>
    <row r="29" spans="1:13" x14ac:dyDescent="0.3">
      <c r="A29" s="5" t="str">
        <f>IF(ISERROR(VLOOKUP(C29,'Caza lvl 1'!A:A,1,0)),"5lvl2","5lvl1")</f>
        <v>5lvl2</v>
      </c>
      <c r="B29" s="19" t="str">
        <f t="shared" si="1"/>
        <v>No cumplio</v>
      </c>
      <c r="C29" s="22">
        <v>1698596813</v>
      </c>
      <c r="D29" s="22" t="s">
        <v>41</v>
      </c>
      <c r="E29" s="24">
        <f t="shared" si="4"/>
        <v>24</v>
      </c>
      <c r="F29" s="23">
        <v>0</v>
      </c>
      <c r="G29" s="23">
        <v>24</v>
      </c>
      <c r="H29" s="23">
        <v>0</v>
      </c>
      <c r="I29" s="23">
        <v>0</v>
      </c>
      <c r="J29" s="23">
        <v>0</v>
      </c>
      <c r="K29" s="20">
        <f t="shared" si="2"/>
        <v>24</v>
      </c>
      <c r="L29" s="11">
        <f t="shared" si="3"/>
        <v>120</v>
      </c>
      <c r="M29" s="2" cm="1">
        <f t="array" ref="M29">_xlfn.IFS(A29="5lvl2",IF(K29&gt;=35,0,35-K29), A29="5lvl1",IF(L29&gt;=35,0,35-L29))</f>
        <v>11</v>
      </c>
    </row>
    <row r="30" spans="1:13" x14ac:dyDescent="0.3">
      <c r="A30" s="5" t="str">
        <f>IF(ISERROR(VLOOKUP(C30,'Caza lvl 1'!A:A,1,0)),"5lvl2","5lvl1")</f>
        <v>5lvl2</v>
      </c>
      <c r="B30" s="19" t="str">
        <f t="shared" si="1"/>
        <v>No cumplio</v>
      </c>
      <c r="C30" s="22">
        <v>735092980</v>
      </c>
      <c r="D30" s="22" t="s">
        <v>42</v>
      </c>
      <c r="E30" s="24">
        <f t="shared" si="4"/>
        <v>5</v>
      </c>
      <c r="F30" s="23">
        <v>0</v>
      </c>
      <c r="G30" s="23">
        <v>3</v>
      </c>
      <c r="H30" s="23">
        <v>1</v>
      </c>
      <c r="I30" s="23">
        <v>1</v>
      </c>
      <c r="J30" s="23">
        <v>0</v>
      </c>
      <c r="K30" s="20">
        <f t="shared" si="2"/>
        <v>17</v>
      </c>
      <c r="L30" s="11">
        <f t="shared" si="3"/>
        <v>60</v>
      </c>
      <c r="M30" s="2" cm="1">
        <f t="array" ref="M30">_xlfn.IFS(A30="5lvl2",IF(K30&gt;=35,0,35-K30), A30="5lvl1",IF(L30&gt;=35,0,35-L30))</f>
        <v>18</v>
      </c>
    </row>
    <row r="31" spans="1:13" x14ac:dyDescent="0.3">
      <c r="A31" s="5" t="str">
        <f>IF(ISERROR(VLOOKUP(C31,'Caza lvl 1'!A:A,1,0)),"5lvl2","5lvl1")</f>
        <v>5lvl2</v>
      </c>
      <c r="B31" s="19" t="str">
        <f t="shared" si="1"/>
        <v>Cumplio</v>
      </c>
      <c r="C31" s="22">
        <v>1346964807</v>
      </c>
      <c r="D31" s="22" t="s">
        <v>43</v>
      </c>
      <c r="E31" s="24">
        <f t="shared" si="4"/>
        <v>22</v>
      </c>
      <c r="F31" s="23">
        <v>0</v>
      </c>
      <c r="G31" s="23">
        <v>17</v>
      </c>
      <c r="H31" s="23">
        <v>5</v>
      </c>
      <c r="I31" s="23">
        <v>0</v>
      </c>
      <c r="J31" s="23">
        <v>0</v>
      </c>
      <c r="K31" s="20">
        <f t="shared" si="2"/>
        <v>42</v>
      </c>
      <c r="L31" s="11">
        <f t="shared" si="3"/>
        <v>160</v>
      </c>
      <c r="M31" s="2" cm="1">
        <f t="array" ref="M31">_xlfn.IFS(A31="5lvl2",IF(K31&gt;=35,0,35-K31), A31="5lvl1",IF(L31&gt;=35,0,35-L31))</f>
        <v>0</v>
      </c>
    </row>
    <row r="32" spans="1:13" x14ac:dyDescent="0.3">
      <c r="A32" s="5" t="str">
        <f>IF(ISERROR(VLOOKUP(C32,'Caza lvl 1'!A:A,1,0)),"5lvl2","5lvl1")</f>
        <v>5lvl2</v>
      </c>
      <c r="B32" s="19" t="str">
        <f t="shared" si="1"/>
        <v>Cumplio</v>
      </c>
      <c r="C32" s="22">
        <v>1529804845</v>
      </c>
      <c r="D32" s="22" t="s">
        <v>44</v>
      </c>
      <c r="E32" s="24">
        <f t="shared" si="4"/>
        <v>13</v>
      </c>
      <c r="F32" s="23">
        <v>0</v>
      </c>
      <c r="G32" s="23">
        <v>7</v>
      </c>
      <c r="H32" s="23">
        <v>6</v>
      </c>
      <c r="I32" s="23">
        <v>0</v>
      </c>
      <c r="J32" s="23">
        <v>0</v>
      </c>
      <c r="K32" s="20">
        <f t="shared" si="2"/>
        <v>37</v>
      </c>
      <c r="L32" s="11">
        <f t="shared" si="3"/>
        <v>125</v>
      </c>
      <c r="M32" s="2" cm="1">
        <f t="array" ref="M32">_xlfn.IFS(A32="5lvl2",IF(K32&gt;=35,0,35-K32), A32="5lvl1",IF(L32&gt;=35,0,35-L32))</f>
        <v>0</v>
      </c>
    </row>
    <row r="33" spans="1:13" x14ac:dyDescent="0.3">
      <c r="A33" s="5" t="str">
        <f>IF(ISERROR(VLOOKUP(C33,'Caza lvl 1'!A:A,1,0)),"5lvl2","5lvl1")</f>
        <v>5lvl2</v>
      </c>
      <c r="B33" s="19" t="str">
        <f t="shared" si="1"/>
        <v>No cumplio</v>
      </c>
      <c r="C33" s="22">
        <v>817775064</v>
      </c>
      <c r="D33" s="22" t="s">
        <v>45</v>
      </c>
      <c r="E33" s="24">
        <f t="shared" si="4"/>
        <v>7</v>
      </c>
      <c r="F33" s="23">
        <v>0</v>
      </c>
      <c r="G33" s="23">
        <v>5</v>
      </c>
      <c r="H33" s="23">
        <v>0</v>
      </c>
      <c r="I33" s="23">
        <v>2</v>
      </c>
      <c r="J33" s="23">
        <v>0</v>
      </c>
      <c r="K33" s="20">
        <f t="shared" si="2"/>
        <v>23</v>
      </c>
      <c r="L33" s="11">
        <f t="shared" si="3"/>
        <v>85</v>
      </c>
      <c r="M33" s="2" cm="1">
        <f t="array" ref="M33">_xlfn.IFS(A33="5lvl2",IF(K33&gt;=35,0,35-K33), A33="5lvl1",IF(L33&gt;=35,0,35-L33))</f>
        <v>12</v>
      </c>
    </row>
    <row r="34" spans="1:13" x14ac:dyDescent="0.3">
      <c r="A34" s="5" t="str">
        <f>IF(ISERROR(VLOOKUP(C34,'Caza lvl 1'!A:A,1,0)),"5lvl2","5lvl1")</f>
        <v>5lvl1</v>
      </c>
      <c r="B34" s="19" t="str">
        <f t="shared" si="1"/>
        <v>Cumplio</v>
      </c>
      <c r="C34" s="22">
        <v>2060348531</v>
      </c>
      <c r="D34" s="22" t="s">
        <v>46</v>
      </c>
      <c r="E34" s="24">
        <f t="shared" si="4"/>
        <v>11</v>
      </c>
      <c r="F34" s="23">
        <v>5</v>
      </c>
      <c r="G34" s="23">
        <v>6</v>
      </c>
      <c r="H34" s="23">
        <v>0</v>
      </c>
      <c r="I34" s="23">
        <v>0</v>
      </c>
      <c r="J34" s="23">
        <v>0</v>
      </c>
      <c r="K34" s="20">
        <f t="shared" si="2"/>
        <v>6</v>
      </c>
      <c r="L34" s="11">
        <f t="shared" si="3"/>
        <v>35</v>
      </c>
      <c r="M34" s="2" cm="1">
        <f t="array" ref="M34">_xlfn.IFS(A34="5lvl2",IF(K34&gt;=35,0,35-K34), A34="5lvl1",IF(L34&gt;=35,0,35-L34))</f>
        <v>0</v>
      </c>
    </row>
    <row r="35" spans="1:13" x14ac:dyDescent="0.3">
      <c r="A35" s="5" t="str">
        <f>IF(ISERROR(VLOOKUP(C35,'Caza lvl 1'!A:A,1,0)),"5lvl2","5lvl1")</f>
        <v>5lvl2</v>
      </c>
      <c r="B35" s="19" t="str">
        <f t="shared" si="1"/>
        <v>Cumplio</v>
      </c>
      <c r="C35" s="22">
        <v>516441517</v>
      </c>
      <c r="D35" s="22" t="s">
        <v>47</v>
      </c>
      <c r="E35" s="24">
        <f t="shared" si="4"/>
        <v>31</v>
      </c>
      <c r="F35" s="23">
        <v>0</v>
      </c>
      <c r="G35" s="23">
        <v>24</v>
      </c>
      <c r="H35" s="23">
        <v>7</v>
      </c>
      <c r="I35" s="23">
        <v>0</v>
      </c>
      <c r="J35" s="23">
        <v>0</v>
      </c>
      <c r="K35" s="20">
        <f t="shared" si="2"/>
        <v>59</v>
      </c>
      <c r="L35" s="11">
        <f t="shared" si="3"/>
        <v>225</v>
      </c>
      <c r="M35" s="2" cm="1">
        <f t="array" ref="M35">_xlfn.IFS(A35="5lvl2",IF(K35&gt;=35,0,35-K35), A35="5lvl1",IF(L35&gt;=35,0,35-L35))</f>
        <v>0</v>
      </c>
    </row>
    <row r="36" spans="1:13" x14ac:dyDescent="0.3">
      <c r="A36" s="5" t="str">
        <f>IF(ISERROR(VLOOKUP(C36,'Caza lvl 1'!A:A,1,0)),"5lvl2","5lvl1")</f>
        <v>5lvl2</v>
      </c>
      <c r="B36" s="19" t="str">
        <f t="shared" ref="B36:B67" si="5">_xlfn.IFS(A36 = "5lvl2",IF(K36&gt;=35,"Cumplio", "No cumplio"),A36 = "5lvl1",IF(L36&gt;= 35,"Cumplio","No cumplio"))</f>
        <v>Cumplio</v>
      </c>
      <c r="C36" s="22">
        <v>1041170254</v>
      </c>
      <c r="D36" s="22" t="s">
        <v>48</v>
      </c>
      <c r="E36" s="24">
        <f t="shared" si="4"/>
        <v>8</v>
      </c>
      <c r="F36" s="23">
        <v>0</v>
      </c>
      <c r="G36" s="23">
        <v>0</v>
      </c>
      <c r="H36" s="23">
        <v>8</v>
      </c>
      <c r="I36" s="23">
        <v>0</v>
      </c>
      <c r="J36" s="23">
        <v>0</v>
      </c>
      <c r="K36" s="20">
        <f t="shared" ref="K36:K67" si="6">(H36*5)+(I36*9)+(J36*18)+G36</f>
        <v>40</v>
      </c>
      <c r="L36" s="11">
        <f t="shared" ref="L36:L67" si="7">(G36*5)+(H36*15)+(I36*30)+(J36*70)+F36</f>
        <v>120</v>
      </c>
      <c r="M36" s="2" cm="1">
        <f t="array" ref="M36">_xlfn.IFS(A36="5lvl2",IF(K36&gt;=35,0,35-K36), A36="5lvl1",IF(L36&gt;=35,0,35-L36))</f>
        <v>0</v>
      </c>
    </row>
    <row r="37" spans="1:13" x14ac:dyDescent="0.3">
      <c r="A37" s="5" t="str">
        <f>IF(ISERROR(VLOOKUP(C37,'Caza lvl 1'!A:A,1,0)),"5lvl2","5lvl1")</f>
        <v>5lvl2</v>
      </c>
      <c r="B37" s="19" t="str">
        <f t="shared" si="5"/>
        <v>Cumplio</v>
      </c>
      <c r="C37" s="22">
        <v>334846462</v>
      </c>
      <c r="D37" s="22" t="s">
        <v>49</v>
      </c>
      <c r="E37" s="24">
        <f t="shared" si="4"/>
        <v>30</v>
      </c>
      <c r="F37" s="23">
        <v>0</v>
      </c>
      <c r="G37" s="23">
        <v>28</v>
      </c>
      <c r="H37" s="23">
        <v>1</v>
      </c>
      <c r="I37" s="23">
        <v>1</v>
      </c>
      <c r="J37" s="23">
        <v>0</v>
      </c>
      <c r="K37" s="20">
        <f t="shared" si="6"/>
        <v>42</v>
      </c>
      <c r="L37" s="11">
        <f t="shared" si="7"/>
        <v>185</v>
      </c>
      <c r="M37" s="2" cm="1">
        <f t="array" ref="M37">_xlfn.IFS(A37="5lvl2",IF(K37&gt;=35,0,35-K37), A37="5lvl1",IF(L37&gt;=35,0,35-L37))</f>
        <v>0</v>
      </c>
    </row>
    <row r="38" spans="1:13" x14ac:dyDescent="0.3">
      <c r="A38" s="5" t="str">
        <f>IF(ISERROR(VLOOKUP(C38,'Caza lvl 1'!A:A,1,0)),"5lvl2","5lvl1")</f>
        <v>5lvl2</v>
      </c>
      <c r="B38" s="19" t="str">
        <f t="shared" si="5"/>
        <v>Cumplio</v>
      </c>
      <c r="C38" s="22">
        <v>1092680272</v>
      </c>
      <c r="D38" s="22" t="s">
        <v>50</v>
      </c>
      <c r="E38" s="24">
        <f t="shared" si="4"/>
        <v>30</v>
      </c>
      <c r="F38" s="23">
        <v>0</v>
      </c>
      <c r="G38" s="23">
        <v>23</v>
      </c>
      <c r="H38" s="23">
        <v>5</v>
      </c>
      <c r="I38" s="23">
        <v>2</v>
      </c>
      <c r="J38" s="23">
        <v>0</v>
      </c>
      <c r="K38" s="20">
        <f t="shared" si="6"/>
        <v>66</v>
      </c>
      <c r="L38" s="11">
        <f t="shared" si="7"/>
        <v>250</v>
      </c>
      <c r="M38" s="2" cm="1">
        <f t="array" ref="M38">_xlfn.IFS(A38="5lvl2",IF(K38&gt;=35,0,35-K38), A38="5lvl1",IF(L38&gt;=35,0,35-L38))</f>
        <v>0</v>
      </c>
    </row>
    <row r="39" spans="1:13" x14ac:dyDescent="0.3">
      <c r="A39" s="5" t="str">
        <f>IF(ISERROR(VLOOKUP(C39,'Caza lvl 1'!A:A,1,0)),"5lvl2","5lvl1")</f>
        <v>5lvl2</v>
      </c>
      <c r="B39" s="19" t="str">
        <f t="shared" si="5"/>
        <v>Cumplio</v>
      </c>
      <c r="C39" s="22">
        <v>545681080</v>
      </c>
      <c r="D39" s="22" t="s">
        <v>145</v>
      </c>
      <c r="E39" s="24">
        <f t="shared" si="4"/>
        <v>28</v>
      </c>
      <c r="F39" s="23">
        <v>0</v>
      </c>
      <c r="G39" s="23">
        <v>25</v>
      </c>
      <c r="H39" s="23">
        <v>3</v>
      </c>
      <c r="I39" s="23">
        <v>0</v>
      </c>
      <c r="J39" s="23">
        <v>0</v>
      </c>
      <c r="K39" s="20">
        <f t="shared" si="6"/>
        <v>40</v>
      </c>
      <c r="L39" s="11">
        <f t="shared" si="7"/>
        <v>170</v>
      </c>
      <c r="M39" s="2" cm="1">
        <f t="array" ref="M39">_xlfn.IFS(A39="5lvl2",IF(K39&gt;=35,0,35-K39), A39="5lvl1",IF(L39&gt;=35,0,35-L39))</f>
        <v>0</v>
      </c>
    </row>
    <row r="40" spans="1:13" x14ac:dyDescent="0.3">
      <c r="A40" s="5" t="str">
        <f>IF(ISERROR(VLOOKUP(C40,'Caza lvl 1'!A:A,1,0)),"5lvl2","5lvl1")</f>
        <v>5lvl2</v>
      </c>
      <c r="B40" s="19" t="str">
        <f t="shared" si="5"/>
        <v>No cumplio</v>
      </c>
      <c r="C40" s="22">
        <v>644038791</v>
      </c>
      <c r="D40" s="22" t="s">
        <v>157</v>
      </c>
      <c r="E40" s="24">
        <f t="shared" si="4"/>
        <v>1</v>
      </c>
      <c r="F40" s="23">
        <v>0</v>
      </c>
      <c r="G40" s="23">
        <v>0</v>
      </c>
      <c r="H40" s="23">
        <v>0</v>
      </c>
      <c r="I40" s="23">
        <v>1</v>
      </c>
      <c r="J40" s="23">
        <v>0</v>
      </c>
      <c r="K40" s="20">
        <f t="shared" si="6"/>
        <v>9</v>
      </c>
      <c r="L40" s="11">
        <f t="shared" si="7"/>
        <v>30</v>
      </c>
      <c r="M40" s="2" cm="1">
        <f t="array" ref="M40">_xlfn.IFS(A40="5lvl2",IF(K40&gt;=35,0,35-K40), A40="5lvl1",IF(L40&gt;=35,0,35-L40))</f>
        <v>26</v>
      </c>
    </row>
    <row r="41" spans="1:13" x14ac:dyDescent="0.3">
      <c r="A41" s="5" t="str">
        <f>IF(ISERROR(VLOOKUP(C41,'Caza lvl 1'!A:A,1,0)),"5lvl2","5lvl1")</f>
        <v>5lvl2</v>
      </c>
      <c r="B41" s="19" t="str">
        <f t="shared" si="5"/>
        <v>Cumplio</v>
      </c>
      <c r="C41" s="22">
        <v>582104628</v>
      </c>
      <c r="D41" s="22" t="s">
        <v>51</v>
      </c>
      <c r="E41" s="24">
        <f t="shared" si="4"/>
        <v>31</v>
      </c>
      <c r="F41" s="23">
        <v>0</v>
      </c>
      <c r="G41" s="23">
        <v>30</v>
      </c>
      <c r="H41" s="23">
        <v>1</v>
      </c>
      <c r="I41" s="23">
        <v>0</v>
      </c>
      <c r="J41" s="23">
        <v>0</v>
      </c>
      <c r="K41" s="20">
        <f t="shared" si="6"/>
        <v>35</v>
      </c>
      <c r="L41" s="11">
        <f t="shared" si="7"/>
        <v>165</v>
      </c>
      <c r="M41" s="2" cm="1">
        <f t="array" ref="M41">_xlfn.IFS(A41="5lvl2",IF(K41&gt;=35,0,35-K41), A41="5lvl1",IF(L41&gt;=35,0,35-L41))</f>
        <v>0</v>
      </c>
    </row>
    <row r="42" spans="1:13" x14ac:dyDescent="0.3">
      <c r="A42" s="5" t="str">
        <f>IF(ISERROR(VLOOKUP(C42,'Caza lvl 1'!A:A,1,0)),"5lvl2","5lvl1")</f>
        <v>5lvl2</v>
      </c>
      <c r="B42" s="19" t="str">
        <f t="shared" si="5"/>
        <v>Cumplio</v>
      </c>
      <c r="C42" s="22">
        <v>689257712</v>
      </c>
      <c r="D42" s="22" t="s">
        <v>52</v>
      </c>
      <c r="E42" s="24">
        <f t="shared" si="4"/>
        <v>19</v>
      </c>
      <c r="F42" s="23">
        <v>0</v>
      </c>
      <c r="G42" s="23">
        <v>1</v>
      </c>
      <c r="H42" s="23">
        <v>18</v>
      </c>
      <c r="I42" s="23">
        <v>0</v>
      </c>
      <c r="J42" s="23">
        <v>0</v>
      </c>
      <c r="K42" s="20">
        <f t="shared" si="6"/>
        <v>91</v>
      </c>
      <c r="L42" s="11">
        <f t="shared" si="7"/>
        <v>275</v>
      </c>
      <c r="M42" s="2" cm="1">
        <f t="array" ref="M42">_xlfn.IFS(A42="5lvl2",IF(K42&gt;=35,0,35-K42), A42="5lvl1",IF(L42&gt;=35,0,35-L42))</f>
        <v>0</v>
      </c>
    </row>
    <row r="43" spans="1:13" x14ac:dyDescent="0.3">
      <c r="A43" s="5" t="str">
        <f>IF(ISERROR(VLOOKUP(C43,'Caza lvl 1'!A:A,1,0)),"5lvl2","5lvl1")</f>
        <v>5lvl2</v>
      </c>
      <c r="B43" s="19" t="str">
        <f t="shared" si="5"/>
        <v>Cumplio</v>
      </c>
      <c r="C43" s="22">
        <v>1023770253</v>
      </c>
      <c r="D43" s="22" t="s">
        <v>53</v>
      </c>
      <c r="E43" s="24">
        <f t="shared" si="4"/>
        <v>14</v>
      </c>
      <c r="F43" s="23">
        <v>0</v>
      </c>
      <c r="G43" s="23">
        <v>1</v>
      </c>
      <c r="H43" s="23">
        <v>9</v>
      </c>
      <c r="I43" s="23">
        <v>4</v>
      </c>
      <c r="J43" s="23">
        <v>0</v>
      </c>
      <c r="K43" s="20">
        <f t="shared" si="6"/>
        <v>82</v>
      </c>
      <c r="L43" s="11">
        <f t="shared" si="7"/>
        <v>260</v>
      </c>
      <c r="M43" s="2" cm="1">
        <f t="array" ref="M43">_xlfn.IFS(A43="5lvl2",IF(K43&gt;=35,0,35-K43), A43="5lvl1",IF(L43&gt;=35,0,35-L43))</f>
        <v>0</v>
      </c>
    </row>
    <row r="44" spans="1:13" x14ac:dyDescent="0.3">
      <c r="A44" s="5" t="str">
        <f>IF(ISERROR(VLOOKUP(C44,'Caza lvl 1'!A:A,1,0)),"5lvl2","5lvl1")</f>
        <v>5lvl2</v>
      </c>
      <c r="B44" s="19" t="str">
        <f t="shared" si="5"/>
        <v>No cumplio</v>
      </c>
      <c r="C44" s="22">
        <v>1041184896</v>
      </c>
      <c r="D44" s="22" t="s">
        <v>54</v>
      </c>
      <c r="E44" s="24">
        <f t="shared" si="4"/>
        <v>10</v>
      </c>
      <c r="F44" s="23">
        <v>0</v>
      </c>
      <c r="G44" s="23">
        <v>6</v>
      </c>
      <c r="H44" s="23">
        <v>4</v>
      </c>
      <c r="I44" s="23">
        <v>0</v>
      </c>
      <c r="J44" s="23">
        <v>0</v>
      </c>
      <c r="K44" s="20">
        <f t="shared" si="6"/>
        <v>26</v>
      </c>
      <c r="L44" s="11">
        <f t="shared" si="7"/>
        <v>90</v>
      </c>
      <c r="M44" s="2" cm="1">
        <f t="array" ref="M44">_xlfn.IFS(A44="5lvl2",IF(K44&gt;=35,0,35-K44), A44="5lvl1",IF(L44&gt;=35,0,35-L44))</f>
        <v>9</v>
      </c>
    </row>
    <row r="45" spans="1:13" x14ac:dyDescent="0.3">
      <c r="A45" s="5" t="str">
        <f>IF(ISERROR(VLOOKUP(C45,'Caza lvl 1'!A:A,1,0)),"5lvl2","5lvl1")</f>
        <v>5lvl2</v>
      </c>
      <c r="B45" s="19" t="str">
        <f t="shared" si="5"/>
        <v>Cumplio</v>
      </c>
      <c r="C45" s="22">
        <v>658843231</v>
      </c>
      <c r="D45" s="22" t="s">
        <v>55</v>
      </c>
      <c r="E45" s="24">
        <f t="shared" si="4"/>
        <v>53</v>
      </c>
      <c r="F45" s="23">
        <v>0</v>
      </c>
      <c r="G45" s="23">
        <v>47</v>
      </c>
      <c r="H45" s="23">
        <v>6</v>
      </c>
      <c r="I45" s="23">
        <v>0</v>
      </c>
      <c r="J45" s="23">
        <v>0</v>
      </c>
      <c r="K45" s="20">
        <f t="shared" si="6"/>
        <v>77</v>
      </c>
      <c r="L45" s="11">
        <f t="shared" si="7"/>
        <v>325</v>
      </c>
      <c r="M45" s="2" cm="1">
        <f t="array" ref="M45">_xlfn.IFS(A45="5lvl2",IF(K45&gt;=35,0,35-K45), A45="5lvl1",IF(L45&gt;=35,0,35-L45))</f>
        <v>0</v>
      </c>
    </row>
    <row r="46" spans="1:13" x14ac:dyDescent="0.3">
      <c r="A46" s="5" t="str">
        <f>IF(ISERROR(VLOOKUP(C46,'Caza lvl 1'!A:A,1,0)),"5lvl2","5lvl1")</f>
        <v>5lvl2</v>
      </c>
      <c r="B46" s="19" t="str">
        <f t="shared" si="5"/>
        <v>No cumplio</v>
      </c>
      <c r="C46" s="22">
        <v>653834656</v>
      </c>
      <c r="D46" s="22" t="s">
        <v>56</v>
      </c>
      <c r="E46" s="24">
        <f t="shared" si="4"/>
        <v>4</v>
      </c>
      <c r="F46" s="23">
        <v>0</v>
      </c>
      <c r="G46" s="23">
        <v>3</v>
      </c>
      <c r="H46" s="23">
        <v>0</v>
      </c>
      <c r="I46" s="23">
        <v>1</v>
      </c>
      <c r="J46" s="23">
        <v>0</v>
      </c>
      <c r="K46" s="20">
        <f t="shared" si="6"/>
        <v>12</v>
      </c>
      <c r="L46" s="11">
        <f t="shared" si="7"/>
        <v>45</v>
      </c>
      <c r="M46" s="2" cm="1">
        <f t="array" ref="M46">_xlfn.IFS(A46="5lvl2",IF(K46&gt;=35,0,35-K46), A46="5lvl1",IF(L46&gt;=35,0,35-L46))</f>
        <v>23</v>
      </c>
    </row>
    <row r="47" spans="1:13" x14ac:dyDescent="0.3">
      <c r="A47" s="5" t="str">
        <f>IF(ISERROR(VLOOKUP(C47,'Caza lvl 1'!A:A,1,0)),"5lvl2","5lvl1")</f>
        <v>5lvl2</v>
      </c>
      <c r="B47" s="19" t="str">
        <f t="shared" si="5"/>
        <v>Cumplio</v>
      </c>
      <c r="C47" s="22">
        <v>613063847</v>
      </c>
      <c r="D47" s="22" t="s">
        <v>57</v>
      </c>
      <c r="E47" s="24">
        <f t="shared" si="4"/>
        <v>19</v>
      </c>
      <c r="F47" s="23">
        <v>0</v>
      </c>
      <c r="G47" s="23">
        <v>15</v>
      </c>
      <c r="H47" s="23">
        <v>4</v>
      </c>
      <c r="I47" s="23">
        <v>0</v>
      </c>
      <c r="J47" s="23">
        <v>0</v>
      </c>
      <c r="K47" s="20">
        <f t="shared" si="6"/>
        <v>35</v>
      </c>
      <c r="L47" s="11">
        <f t="shared" si="7"/>
        <v>135</v>
      </c>
      <c r="M47" s="2" cm="1">
        <f t="array" ref="M47">_xlfn.IFS(A47="5lvl2",IF(K47&gt;=35,0,35-K47), A47="5lvl1",IF(L47&gt;=35,0,35-L47))</f>
        <v>0</v>
      </c>
    </row>
    <row r="48" spans="1:13" x14ac:dyDescent="0.3">
      <c r="A48" s="5" t="str">
        <f>IF(ISERROR(VLOOKUP(C48,'Caza lvl 1'!A:A,1,0)),"5lvl2","5lvl1")</f>
        <v>5lvl2</v>
      </c>
      <c r="B48" s="19" t="str">
        <f t="shared" si="5"/>
        <v>Cumplio</v>
      </c>
      <c r="C48" s="22">
        <v>698081329</v>
      </c>
      <c r="D48" s="22" t="s">
        <v>146</v>
      </c>
      <c r="E48" s="24">
        <f t="shared" si="4"/>
        <v>19</v>
      </c>
      <c r="F48" s="23">
        <v>0</v>
      </c>
      <c r="G48" s="23">
        <v>14</v>
      </c>
      <c r="H48" s="23">
        <v>5</v>
      </c>
      <c r="I48" s="23">
        <v>0</v>
      </c>
      <c r="J48" s="23">
        <v>0</v>
      </c>
      <c r="K48" s="20">
        <f t="shared" si="6"/>
        <v>39</v>
      </c>
      <c r="L48" s="11">
        <f t="shared" si="7"/>
        <v>145</v>
      </c>
      <c r="M48" s="2" cm="1">
        <f t="array" ref="M48">_xlfn.IFS(A48="5lvl2",IF(K48&gt;=35,0,35-K48), A48="5lvl1",IF(L48&gt;=35,0,35-L48))</f>
        <v>0</v>
      </c>
    </row>
    <row r="49" spans="1:13" x14ac:dyDescent="0.3">
      <c r="A49" s="5" t="str">
        <f>IF(ISERROR(VLOOKUP(C49,'Caza lvl 1'!A:A,1,0)),"5lvl2","5lvl1")</f>
        <v>5lvl2</v>
      </c>
      <c r="B49" s="19" t="str">
        <f t="shared" si="5"/>
        <v>Cumplio</v>
      </c>
      <c r="C49" s="22">
        <v>1112847542</v>
      </c>
      <c r="D49" s="22" t="s">
        <v>58</v>
      </c>
      <c r="E49" s="24">
        <f t="shared" si="4"/>
        <v>22</v>
      </c>
      <c r="F49" s="23">
        <v>0</v>
      </c>
      <c r="G49" s="23">
        <v>15</v>
      </c>
      <c r="H49" s="23">
        <v>7</v>
      </c>
      <c r="I49" s="23">
        <v>0</v>
      </c>
      <c r="J49" s="23">
        <v>0</v>
      </c>
      <c r="K49" s="20">
        <f t="shared" si="6"/>
        <v>50</v>
      </c>
      <c r="L49" s="11">
        <f t="shared" si="7"/>
        <v>180</v>
      </c>
      <c r="M49" s="2" cm="1">
        <f t="array" ref="M49">_xlfn.IFS(A49="5lvl2",IF(K49&gt;=35,0,35-K49), A49="5lvl1",IF(L49&gt;=35,0,35-L49))</f>
        <v>0</v>
      </c>
    </row>
    <row r="50" spans="1:13" x14ac:dyDescent="0.3">
      <c r="A50" s="5" t="str">
        <f>IF(ISERROR(VLOOKUP(C50,'Caza lvl 1'!A:A,1,0)),"5lvl2","5lvl1")</f>
        <v>5lvl2</v>
      </c>
      <c r="B50" s="19" t="str">
        <f t="shared" si="5"/>
        <v>Cumplio</v>
      </c>
      <c r="C50" s="22">
        <v>663429510</v>
      </c>
      <c r="D50" s="22" t="s">
        <v>59</v>
      </c>
      <c r="E50" s="24">
        <f t="shared" si="4"/>
        <v>17</v>
      </c>
      <c r="F50" s="23">
        <v>0</v>
      </c>
      <c r="G50" s="23">
        <v>1</v>
      </c>
      <c r="H50" s="23">
        <v>15</v>
      </c>
      <c r="I50" s="23">
        <v>1</v>
      </c>
      <c r="J50" s="23">
        <v>0</v>
      </c>
      <c r="K50" s="20">
        <f t="shared" si="6"/>
        <v>85</v>
      </c>
      <c r="L50" s="11">
        <f t="shared" si="7"/>
        <v>260</v>
      </c>
      <c r="M50" s="2" cm="1">
        <f t="array" ref="M50">_xlfn.IFS(A50="5lvl2",IF(K50&gt;=35,0,35-K50), A50="5lvl1",IF(L50&gt;=35,0,35-L50))</f>
        <v>0</v>
      </c>
    </row>
    <row r="51" spans="1:13" x14ac:dyDescent="0.3">
      <c r="A51" s="5" t="str">
        <f>IF(ISERROR(VLOOKUP(C51,'Caza lvl 1'!A:A,1,0)),"5lvl2","5lvl1")</f>
        <v>5lvl2</v>
      </c>
      <c r="B51" s="19" t="str">
        <f t="shared" si="5"/>
        <v>Cumplio</v>
      </c>
      <c r="C51" s="22">
        <v>852051372</v>
      </c>
      <c r="D51" s="22" t="s">
        <v>60</v>
      </c>
      <c r="E51" s="24">
        <f t="shared" si="4"/>
        <v>20</v>
      </c>
      <c r="F51" s="23">
        <v>0</v>
      </c>
      <c r="G51" s="23">
        <v>16</v>
      </c>
      <c r="H51" s="23">
        <v>4</v>
      </c>
      <c r="I51" s="23">
        <v>0</v>
      </c>
      <c r="J51" s="23">
        <v>0</v>
      </c>
      <c r="K51" s="20">
        <f t="shared" si="6"/>
        <v>36</v>
      </c>
      <c r="L51" s="11">
        <f t="shared" si="7"/>
        <v>140</v>
      </c>
      <c r="M51" s="2" cm="1">
        <f t="array" ref="M51">_xlfn.IFS(A51="5lvl2",IF(K51&gt;=35,0,35-K51), A51="5lvl1",IF(L51&gt;=35,0,35-L51))</f>
        <v>0</v>
      </c>
    </row>
    <row r="52" spans="1:13" x14ac:dyDescent="0.3">
      <c r="A52" s="5" t="str">
        <f>IF(ISERROR(VLOOKUP(C52,'Caza lvl 1'!A:A,1,0)),"5lvl2","5lvl1")</f>
        <v>5lvl2</v>
      </c>
      <c r="B52" s="19" t="str">
        <f t="shared" si="5"/>
        <v>Cumplio</v>
      </c>
      <c r="C52" s="22">
        <v>1915163097</v>
      </c>
      <c r="D52" s="22" t="s">
        <v>61</v>
      </c>
      <c r="E52" s="24">
        <f t="shared" si="4"/>
        <v>35</v>
      </c>
      <c r="F52" s="23">
        <v>0</v>
      </c>
      <c r="G52" s="23">
        <v>35</v>
      </c>
      <c r="H52" s="23">
        <v>0</v>
      </c>
      <c r="I52" s="23">
        <v>0</v>
      </c>
      <c r="J52" s="23">
        <v>0</v>
      </c>
      <c r="K52" s="20">
        <f t="shared" si="6"/>
        <v>35</v>
      </c>
      <c r="L52" s="11">
        <f t="shared" si="7"/>
        <v>175</v>
      </c>
      <c r="M52" s="2" cm="1">
        <f t="array" ref="M52">_xlfn.IFS(A52="5lvl2",IF(K52&gt;=35,0,35-K52), A52="5lvl1",IF(L52&gt;=35,0,35-L52))</f>
        <v>0</v>
      </c>
    </row>
    <row r="53" spans="1:13" x14ac:dyDescent="0.3">
      <c r="A53" s="5" t="str">
        <f>IF(ISERROR(VLOOKUP(C53,'Caza lvl 1'!A:A,1,0)),"5lvl2","5lvl1")</f>
        <v>5lvl2</v>
      </c>
      <c r="B53" s="19" t="str">
        <f t="shared" si="5"/>
        <v>Cumplio</v>
      </c>
      <c r="C53" s="22">
        <v>1268142112</v>
      </c>
      <c r="D53" s="22" t="s">
        <v>62</v>
      </c>
      <c r="E53" s="24">
        <f t="shared" si="4"/>
        <v>26</v>
      </c>
      <c r="F53" s="23">
        <v>0</v>
      </c>
      <c r="G53" s="23">
        <v>23</v>
      </c>
      <c r="H53" s="23">
        <v>3</v>
      </c>
      <c r="I53" s="23">
        <v>0</v>
      </c>
      <c r="J53" s="23">
        <v>0</v>
      </c>
      <c r="K53" s="20">
        <f t="shared" si="6"/>
        <v>38</v>
      </c>
      <c r="L53" s="11">
        <f t="shared" si="7"/>
        <v>160</v>
      </c>
      <c r="M53" s="2" cm="1">
        <f t="array" ref="M53">_xlfn.IFS(A53="5lvl2",IF(K53&gt;=35,0,35-K53), A53="5lvl1",IF(L53&gt;=35,0,35-L53))</f>
        <v>0</v>
      </c>
    </row>
    <row r="54" spans="1:13" x14ac:dyDescent="0.3">
      <c r="A54" s="5" t="str">
        <f>IF(ISERROR(VLOOKUP(C54,'Caza lvl 1'!A:A,1,0)),"5lvl2","5lvl1")</f>
        <v>5lvl1</v>
      </c>
      <c r="B54" s="19" t="str">
        <f t="shared" si="5"/>
        <v>Cumplio</v>
      </c>
      <c r="C54" s="22">
        <v>1835847308</v>
      </c>
      <c r="D54" s="22" t="s">
        <v>63</v>
      </c>
      <c r="E54" s="24">
        <f t="shared" si="4"/>
        <v>73</v>
      </c>
      <c r="F54" s="23">
        <v>73</v>
      </c>
      <c r="G54" s="23">
        <v>0</v>
      </c>
      <c r="H54" s="23">
        <v>0</v>
      </c>
      <c r="I54" s="23">
        <v>0</v>
      </c>
      <c r="J54" s="23">
        <v>0</v>
      </c>
      <c r="K54" s="20">
        <f t="shared" si="6"/>
        <v>0</v>
      </c>
      <c r="L54" s="11">
        <f t="shared" si="7"/>
        <v>73</v>
      </c>
      <c r="M54" s="2" cm="1">
        <f t="array" ref="M54">_xlfn.IFS(A54="5lvl2",IF(K54&gt;=35,0,35-K54), A54="5lvl1",IF(L54&gt;=35,0,35-L54))</f>
        <v>0</v>
      </c>
    </row>
    <row r="55" spans="1:13" x14ac:dyDescent="0.3">
      <c r="A55" s="5" t="str">
        <f>IF(ISERROR(VLOOKUP(C55,'Caza lvl 1'!A:A,1,0)),"5lvl2","5lvl1")</f>
        <v>5lvl2</v>
      </c>
      <c r="B55" s="19" t="str">
        <f t="shared" si="5"/>
        <v>Cumplio</v>
      </c>
      <c r="C55" s="22">
        <v>869080899</v>
      </c>
      <c r="D55" s="22" t="s">
        <v>65</v>
      </c>
      <c r="E55" s="24">
        <f t="shared" si="4"/>
        <v>7</v>
      </c>
      <c r="F55" s="23">
        <v>0</v>
      </c>
      <c r="G55" s="23">
        <v>0</v>
      </c>
      <c r="H55" s="23">
        <v>7</v>
      </c>
      <c r="I55" s="23">
        <v>0</v>
      </c>
      <c r="J55" s="23">
        <v>0</v>
      </c>
      <c r="K55" s="20">
        <f t="shared" si="6"/>
        <v>35</v>
      </c>
      <c r="L55" s="11">
        <f t="shared" si="7"/>
        <v>105</v>
      </c>
      <c r="M55" s="2" cm="1">
        <f t="array" ref="M55">_xlfn.IFS(A55="5lvl2",IF(K55&gt;=35,0,35-K55), A55="5lvl1",IF(L55&gt;=35,0,35-L55))</f>
        <v>0</v>
      </c>
    </row>
    <row r="56" spans="1:13" x14ac:dyDescent="0.3">
      <c r="A56" s="5" t="str">
        <f>IF(ISERROR(VLOOKUP(C56,'Caza lvl 1'!A:A,1,0)),"5lvl2","5lvl1")</f>
        <v>5lvl2</v>
      </c>
      <c r="B56" s="19" t="str">
        <f t="shared" si="5"/>
        <v>Cumplio</v>
      </c>
      <c r="C56" s="22">
        <v>916473485</v>
      </c>
      <c r="D56" s="22" t="s">
        <v>66</v>
      </c>
      <c r="E56" s="24">
        <f t="shared" si="4"/>
        <v>7</v>
      </c>
      <c r="F56" s="23">
        <v>0</v>
      </c>
      <c r="G56" s="23">
        <v>0</v>
      </c>
      <c r="H56" s="23">
        <v>7</v>
      </c>
      <c r="I56" s="23">
        <v>0</v>
      </c>
      <c r="J56" s="23">
        <v>0</v>
      </c>
      <c r="K56" s="20">
        <f t="shared" si="6"/>
        <v>35</v>
      </c>
      <c r="L56" s="11">
        <f t="shared" si="7"/>
        <v>105</v>
      </c>
      <c r="M56" s="2" cm="1">
        <f t="array" ref="M56">_xlfn.IFS(A56="5lvl2",IF(K56&gt;=35,0,35-K56), A56="5lvl1",IF(L56&gt;=35,0,35-L56))</f>
        <v>0</v>
      </c>
    </row>
    <row r="57" spans="1:13" x14ac:dyDescent="0.3">
      <c r="A57" s="5" t="str">
        <f>IF(ISERROR(VLOOKUP(C57,'Caza lvl 1'!A:A,1,0)),"5lvl2","5lvl1")</f>
        <v>5lvl2</v>
      </c>
      <c r="B57" s="19" t="str">
        <f t="shared" si="5"/>
        <v>Cumplio</v>
      </c>
      <c r="C57" s="22">
        <v>500920417</v>
      </c>
      <c r="D57" s="22" t="s">
        <v>67</v>
      </c>
      <c r="E57" s="24">
        <f t="shared" si="4"/>
        <v>29</v>
      </c>
      <c r="F57" s="23">
        <v>0</v>
      </c>
      <c r="G57" s="23">
        <v>21</v>
      </c>
      <c r="H57" s="23">
        <v>7</v>
      </c>
      <c r="I57" s="23">
        <v>1</v>
      </c>
      <c r="J57" s="23">
        <v>0</v>
      </c>
      <c r="K57" s="20">
        <f t="shared" si="6"/>
        <v>65</v>
      </c>
      <c r="L57" s="11">
        <f t="shared" si="7"/>
        <v>240</v>
      </c>
      <c r="M57" s="2" cm="1">
        <f t="array" ref="M57">_xlfn.IFS(A57="5lvl2",IF(K57&gt;=35,0,35-K57), A57="5lvl1",IF(L57&gt;=35,0,35-L57))</f>
        <v>0</v>
      </c>
    </row>
    <row r="58" spans="1:13" x14ac:dyDescent="0.3">
      <c r="A58" s="5" t="str">
        <f>IF(ISERROR(VLOOKUP(C58,'Caza lvl 1'!A:A,1,0)),"5lvl2","5lvl1")</f>
        <v>5lvl2</v>
      </c>
      <c r="B58" s="19" t="str">
        <f t="shared" si="5"/>
        <v>Cumplio</v>
      </c>
      <c r="C58" s="22">
        <v>376342700</v>
      </c>
      <c r="D58" s="22" t="s">
        <v>68</v>
      </c>
      <c r="E58" s="24">
        <f t="shared" si="4"/>
        <v>23</v>
      </c>
      <c r="F58" s="23">
        <v>0</v>
      </c>
      <c r="G58" s="23">
        <v>17</v>
      </c>
      <c r="H58" s="23">
        <v>5</v>
      </c>
      <c r="I58" s="23">
        <v>1</v>
      </c>
      <c r="J58" s="23">
        <v>0</v>
      </c>
      <c r="K58" s="20">
        <f t="shared" si="6"/>
        <v>51</v>
      </c>
      <c r="L58" s="11">
        <f t="shared" si="7"/>
        <v>190</v>
      </c>
      <c r="M58" s="2" cm="1">
        <f t="array" ref="M58">_xlfn.IFS(A58="5lvl2",IF(K58&gt;=35,0,35-K58), A58="5lvl1",IF(L58&gt;=35,0,35-L58))</f>
        <v>0</v>
      </c>
    </row>
    <row r="59" spans="1:13" x14ac:dyDescent="0.3">
      <c r="A59" s="5" t="str">
        <f>IF(ISERROR(VLOOKUP(C59,'Caza lvl 1'!A:A,1,0)),"5lvl2","5lvl1")</f>
        <v>5lvl2</v>
      </c>
      <c r="B59" s="19" t="str">
        <f t="shared" si="5"/>
        <v>Cumplio</v>
      </c>
      <c r="C59" s="22">
        <v>545632943</v>
      </c>
      <c r="D59" s="22" t="s">
        <v>70</v>
      </c>
      <c r="E59" s="24">
        <f t="shared" si="4"/>
        <v>9</v>
      </c>
      <c r="F59" s="23">
        <v>0</v>
      </c>
      <c r="G59" s="23">
        <v>0</v>
      </c>
      <c r="H59" s="23">
        <v>8</v>
      </c>
      <c r="I59" s="23">
        <v>1</v>
      </c>
      <c r="J59" s="23">
        <v>0</v>
      </c>
      <c r="K59" s="20">
        <f t="shared" si="6"/>
        <v>49</v>
      </c>
      <c r="L59" s="11">
        <f t="shared" si="7"/>
        <v>150</v>
      </c>
      <c r="M59" s="2" cm="1">
        <f t="array" ref="M59">_xlfn.IFS(A59="5lvl2",IF(K59&gt;=35,0,35-K59), A59="5lvl1",IF(L59&gt;=35,0,35-L59))</f>
        <v>0</v>
      </c>
    </row>
    <row r="60" spans="1:13" x14ac:dyDescent="0.3">
      <c r="A60" s="5" t="str">
        <f>IF(ISERROR(VLOOKUP(C60,'Caza lvl 1'!A:A,1,0)),"5lvl2","5lvl1")</f>
        <v>5lvl1</v>
      </c>
      <c r="B60" s="19" t="str">
        <f t="shared" si="5"/>
        <v>Cumplio</v>
      </c>
      <c r="C60" s="22">
        <v>2057192192</v>
      </c>
      <c r="D60" s="22" t="s">
        <v>71</v>
      </c>
      <c r="E60" s="24">
        <f t="shared" si="4"/>
        <v>11</v>
      </c>
      <c r="F60" s="23">
        <v>5</v>
      </c>
      <c r="G60" s="23">
        <v>6</v>
      </c>
      <c r="H60" s="23">
        <v>0</v>
      </c>
      <c r="I60" s="23">
        <v>0</v>
      </c>
      <c r="J60" s="23">
        <v>0</v>
      </c>
      <c r="K60" s="20">
        <f t="shared" si="6"/>
        <v>6</v>
      </c>
      <c r="L60" s="11">
        <f t="shared" si="7"/>
        <v>35</v>
      </c>
      <c r="M60" s="2" cm="1">
        <f t="array" ref="M60">_xlfn.IFS(A60="5lvl2",IF(K60&gt;=35,0,35-K60), A60="5lvl1",IF(L60&gt;=35,0,35-L60))</f>
        <v>0</v>
      </c>
    </row>
    <row r="61" spans="1:13" x14ac:dyDescent="0.3">
      <c r="A61" s="5" t="str">
        <f>IF(ISERROR(VLOOKUP(C61,'Caza lvl 1'!A:A,1,0)),"5lvl2","5lvl1")</f>
        <v>5lvl2</v>
      </c>
      <c r="B61" s="19" t="str">
        <f t="shared" si="5"/>
        <v>Cumplio</v>
      </c>
      <c r="C61" s="22">
        <v>997405085</v>
      </c>
      <c r="D61" s="22" t="s">
        <v>72</v>
      </c>
      <c r="E61" s="24">
        <f t="shared" si="4"/>
        <v>35</v>
      </c>
      <c r="F61" s="23">
        <v>0</v>
      </c>
      <c r="G61" s="23">
        <v>35</v>
      </c>
      <c r="H61" s="23">
        <v>0</v>
      </c>
      <c r="I61" s="23">
        <v>0</v>
      </c>
      <c r="J61" s="23">
        <v>0</v>
      </c>
      <c r="K61" s="20">
        <f t="shared" si="6"/>
        <v>35</v>
      </c>
      <c r="L61" s="11">
        <f t="shared" si="7"/>
        <v>175</v>
      </c>
      <c r="M61" s="2" cm="1">
        <f t="array" ref="M61">_xlfn.IFS(A61="5lvl2",IF(K61&gt;=35,0,35-K61), A61="5lvl1",IF(L61&gt;=35,0,35-L61))</f>
        <v>0</v>
      </c>
    </row>
    <row r="62" spans="1:13" x14ac:dyDescent="0.3">
      <c r="A62" s="5" t="str">
        <f>IF(ISERROR(VLOOKUP(C62,'Caza lvl 1'!A:A,1,0)),"5lvl2","5lvl1")</f>
        <v>5lvl2</v>
      </c>
      <c r="B62" s="19" t="str">
        <f t="shared" si="5"/>
        <v>Cumplio</v>
      </c>
      <c r="C62" s="22">
        <v>368989323</v>
      </c>
      <c r="D62" s="22" t="s">
        <v>73</v>
      </c>
      <c r="E62" s="24">
        <f t="shared" si="4"/>
        <v>24</v>
      </c>
      <c r="F62" s="23">
        <v>0</v>
      </c>
      <c r="G62" s="23">
        <v>21</v>
      </c>
      <c r="H62" s="23">
        <v>3</v>
      </c>
      <c r="I62" s="23">
        <v>0</v>
      </c>
      <c r="J62" s="23">
        <v>0</v>
      </c>
      <c r="K62" s="20">
        <f t="shared" si="6"/>
        <v>36</v>
      </c>
      <c r="L62" s="11">
        <f t="shared" si="7"/>
        <v>150</v>
      </c>
      <c r="M62" s="2" cm="1">
        <f t="array" ref="M62">_xlfn.IFS(A62="5lvl2",IF(K62&gt;=35,0,35-K62), A62="5lvl1",IF(L62&gt;=35,0,35-L62))</f>
        <v>0</v>
      </c>
    </row>
    <row r="63" spans="1:13" x14ac:dyDescent="0.3">
      <c r="A63" s="5" t="str">
        <f>IF(ISERROR(VLOOKUP(C63,'Caza lvl 1'!A:A,1,0)),"5lvl2","5lvl1")</f>
        <v>5lvl2</v>
      </c>
      <c r="B63" s="19" t="str">
        <f t="shared" si="5"/>
        <v>No cumplio</v>
      </c>
      <c r="C63" s="22">
        <v>829088153</v>
      </c>
      <c r="D63" s="22" t="s">
        <v>75</v>
      </c>
      <c r="E63" s="24">
        <f t="shared" si="4"/>
        <v>12</v>
      </c>
      <c r="F63" s="23">
        <v>0</v>
      </c>
      <c r="G63" s="23">
        <v>10</v>
      </c>
      <c r="H63" s="23">
        <v>1</v>
      </c>
      <c r="I63" s="23">
        <v>1</v>
      </c>
      <c r="J63" s="23">
        <v>0</v>
      </c>
      <c r="K63" s="20">
        <f t="shared" si="6"/>
        <v>24</v>
      </c>
      <c r="L63" s="11">
        <f t="shared" si="7"/>
        <v>95</v>
      </c>
      <c r="M63" s="2" cm="1">
        <f t="array" ref="M63">_xlfn.IFS(A63="5lvl2",IF(K63&gt;=35,0,35-K63), A63="5lvl1",IF(L63&gt;=35,0,35-L63))</f>
        <v>11</v>
      </c>
    </row>
    <row r="64" spans="1:13" x14ac:dyDescent="0.3">
      <c r="A64" s="5" t="str">
        <f>IF(ISERROR(VLOOKUP(C64,'Caza lvl 1'!A:A,1,0)),"5lvl2","5lvl1")</f>
        <v>5lvl2</v>
      </c>
      <c r="B64" s="19" t="str">
        <f t="shared" si="5"/>
        <v>Cumplio</v>
      </c>
      <c r="C64" s="22">
        <v>804415402</v>
      </c>
      <c r="D64" s="22" t="s">
        <v>77</v>
      </c>
      <c r="E64" s="24">
        <f t="shared" si="4"/>
        <v>11</v>
      </c>
      <c r="F64" s="23">
        <v>0</v>
      </c>
      <c r="G64" s="23">
        <v>2</v>
      </c>
      <c r="H64" s="23">
        <v>9</v>
      </c>
      <c r="I64" s="23">
        <v>0</v>
      </c>
      <c r="J64" s="23">
        <v>0</v>
      </c>
      <c r="K64" s="20">
        <f t="shared" si="6"/>
        <v>47</v>
      </c>
      <c r="L64" s="11">
        <f t="shared" si="7"/>
        <v>145</v>
      </c>
      <c r="M64" s="2" cm="1">
        <f t="array" ref="M64">_xlfn.IFS(A64="5lvl2",IF(K64&gt;=35,0,35-K64), A64="5lvl1",IF(L64&gt;=35,0,35-L64))</f>
        <v>0</v>
      </c>
    </row>
    <row r="65" spans="1:13" x14ac:dyDescent="0.3">
      <c r="A65" s="5" t="str">
        <f>IF(ISERROR(VLOOKUP(C65,'Caza lvl 1'!A:A,1,0)),"5lvl2","5lvl1")</f>
        <v>5lvl2</v>
      </c>
      <c r="B65" s="19" t="str">
        <f t="shared" si="5"/>
        <v>Cumplio</v>
      </c>
      <c r="C65" s="22">
        <v>526268020</v>
      </c>
      <c r="D65" s="22" t="s">
        <v>78</v>
      </c>
      <c r="E65" s="24">
        <f t="shared" si="4"/>
        <v>29</v>
      </c>
      <c r="F65" s="23">
        <v>0</v>
      </c>
      <c r="G65" s="23">
        <v>27</v>
      </c>
      <c r="H65" s="23">
        <v>2</v>
      </c>
      <c r="I65" s="23">
        <v>0</v>
      </c>
      <c r="J65" s="23">
        <v>0</v>
      </c>
      <c r="K65" s="20">
        <f t="shared" si="6"/>
        <v>37</v>
      </c>
      <c r="L65" s="11">
        <f t="shared" si="7"/>
        <v>165</v>
      </c>
      <c r="M65" s="2" cm="1">
        <f t="array" ref="M65">_xlfn.IFS(A65="5lvl2",IF(K65&gt;=35,0,35-K65), A65="5lvl1",IF(L65&gt;=35,0,35-L65))</f>
        <v>0</v>
      </c>
    </row>
    <row r="66" spans="1:13" x14ac:dyDescent="0.3">
      <c r="A66" s="5" t="str">
        <f>IF(ISERROR(VLOOKUP(C66,'Caza lvl 1'!A:A,1,0)),"5lvl2","5lvl1")</f>
        <v>5lvl2</v>
      </c>
      <c r="B66" s="19" t="str">
        <f t="shared" si="5"/>
        <v>Cumplio</v>
      </c>
      <c r="C66" s="22">
        <v>1040942817</v>
      </c>
      <c r="D66" s="22" t="s">
        <v>79</v>
      </c>
      <c r="E66" s="24">
        <f t="shared" si="4"/>
        <v>8</v>
      </c>
      <c r="F66" s="23">
        <v>0</v>
      </c>
      <c r="G66" s="23">
        <v>0</v>
      </c>
      <c r="H66" s="23">
        <v>8</v>
      </c>
      <c r="I66" s="23">
        <v>0</v>
      </c>
      <c r="J66" s="23">
        <v>0</v>
      </c>
      <c r="K66" s="20">
        <f t="shared" si="6"/>
        <v>40</v>
      </c>
      <c r="L66" s="11">
        <f t="shared" si="7"/>
        <v>120</v>
      </c>
      <c r="M66" s="2" cm="1">
        <f t="array" ref="M66">_xlfn.IFS(A66="5lvl2",IF(K66&gt;=35,0,35-K66), A66="5lvl1",IF(L66&gt;=35,0,35-L66))</f>
        <v>0</v>
      </c>
    </row>
    <row r="67" spans="1:13" x14ac:dyDescent="0.3">
      <c r="A67" s="5" t="str">
        <f>IF(ISERROR(VLOOKUP(C67,'Caza lvl 1'!A:A,1,0)),"5lvl2","5lvl1")</f>
        <v>5lvl2</v>
      </c>
      <c r="B67" s="19" t="str">
        <f t="shared" si="5"/>
        <v>Cumplio</v>
      </c>
      <c r="C67" s="22">
        <v>1279827382</v>
      </c>
      <c r="D67" s="22" t="s">
        <v>149</v>
      </c>
      <c r="E67" s="24">
        <f t="shared" si="4"/>
        <v>15</v>
      </c>
      <c r="F67" s="23">
        <v>0</v>
      </c>
      <c r="G67" s="23">
        <v>8</v>
      </c>
      <c r="H67" s="23">
        <v>7</v>
      </c>
      <c r="I67" s="23">
        <v>0</v>
      </c>
      <c r="J67" s="23">
        <v>0</v>
      </c>
      <c r="K67" s="20">
        <f t="shared" si="6"/>
        <v>43</v>
      </c>
      <c r="L67" s="11">
        <f t="shared" si="7"/>
        <v>145</v>
      </c>
      <c r="M67" s="2" cm="1">
        <f t="array" ref="M67">_xlfn.IFS(A67="5lvl2",IF(K67&gt;=35,0,35-K67), A67="5lvl1",IF(L67&gt;=35,0,35-L67))</f>
        <v>0</v>
      </c>
    </row>
    <row r="68" spans="1:13" x14ac:dyDescent="0.3">
      <c r="A68" s="5" t="str">
        <f>IF(ISERROR(VLOOKUP(C68,'Caza lvl 1'!A:A,1,0)),"5lvl2","5lvl1")</f>
        <v>5lvl2</v>
      </c>
      <c r="B68" s="19" t="str">
        <f t="shared" ref="B68:B99" si="8">_xlfn.IFS(A68 = "5lvl2",IF(K68&gt;=35,"Cumplio", "No cumplio"),A68 = "5lvl1",IF(L68&gt;= 35,"Cumplio","No cumplio"))</f>
        <v>No cumplio</v>
      </c>
      <c r="C68" s="22">
        <v>973732352</v>
      </c>
      <c r="D68" s="22" t="s">
        <v>150</v>
      </c>
      <c r="E68" s="24">
        <f t="shared" si="4"/>
        <v>9</v>
      </c>
      <c r="F68" s="23">
        <v>0</v>
      </c>
      <c r="G68" s="23">
        <v>8</v>
      </c>
      <c r="H68" s="23">
        <v>1</v>
      </c>
      <c r="I68" s="23">
        <v>0</v>
      </c>
      <c r="J68" s="23">
        <v>0</v>
      </c>
      <c r="K68" s="20">
        <f t="shared" ref="K68:K99" si="9">(H68*5)+(I68*9)+(J68*18)+G68</f>
        <v>13</v>
      </c>
      <c r="L68" s="11">
        <f t="shared" ref="L68:L99" si="10">(G68*5)+(H68*15)+(I68*30)+(J68*70)+F68</f>
        <v>55</v>
      </c>
      <c r="M68" s="2" cm="1">
        <f t="array" ref="M68">_xlfn.IFS(A68="5lvl2",IF(K68&gt;=35,0,35-K68), A68="5lvl1",IF(L68&gt;=35,0,35-L68))</f>
        <v>22</v>
      </c>
    </row>
    <row r="69" spans="1:13" x14ac:dyDescent="0.3">
      <c r="A69" s="5" t="str">
        <f>IF(ISERROR(VLOOKUP(C69,'Caza lvl 1'!A:A,1,0)),"5lvl2","5lvl1")</f>
        <v>5lvl2</v>
      </c>
      <c r="B69" s="19" t="str">
        <f t="shared" si="8"/>
        <v>Cumplio</v>
      </c>
      <c r="C69" s="22">
        <v>1276495104</v>
      </c>
      <c r="D69" s="22" t="s">
        <v>81</v>
      </c>
      <c r="E69" s="24">
        <f t="shared" ref="E69:E106" si="11">SUM(F69:J69)</f>
        <v>28</v>
      </c>
      <c r="F69" s="23">
        <v>0</v>
      </c>
      <c r="G69" s="23">
        <v>22</v>
      </c>
      <c r="H69" s="23">
        <v>6</v>
      </c>
      <c r="I69" s="23">
        <v>0</v>
      </c>
      <c r="J69" s="23">
        <v>0</v>
      </c>
      <c r="K69" s="20">
        <f t="shared" si="9"/>
        <v>52</v>
      </c>
      <c r="L69" s="11">
        <f t="shared" si="10"/>
        <v>200</v>
      </c>
      <c r="M69" s="2" cm="1">
        <f t="array" ref="M69">_xlfn.IFS(A69="5lvl2",IF(K69&gt;=35,0,35-K69), A69="5lvl1",IF(L69&gt;=35,0,35-L69))</f>
        <v>0</v>
      </c>
    </row>
    <row r="70" spans="1:13" x14ac:dyDescent="0.3">
      <c r="A70" s="5" t="str">
        <f>IF(ISERROR(VLOOKUP(C70,'Caza lvl 1'!A:A,1,0)),"5lvl2","5lvl1")</f>
        <v>5lvl2</v>
      </c>
      <c r="B70" s="19" t="str">
        <f t="shared" si="8"/>
        <v>No cumplio</v>
      </c>
      <c r="C70" s="22">
        <v>829026210</v>
      </c>
      <c r="D70" s="22" t="s">
        <v>82</v>
      </c>
      <c r="E70" s="24">
        <f t="shared" si="11"/>
        <v>23</v>
      </c>
      <c r="F70" s="23">
        <v>0</v>
      </c>
      <c r="G70" s="23">
        <v>21</v>
      </c>
      <c r="H70" s="23">
        <v>2</v>
      </c>
      <c r="I70" s="23">
        <v>0</v>
      </c>
      <c r="J70" s="23">
        <v>0</v>
      </c>
      <c r="K70" s="20">
        <f t="shared" si="9"/>
        <v>31</v>
      </c>
      <c r="L70" s="11">
        <f t="shared" si="10"/>
        <v>135</v>
      </c>
      <c r="M70" s="2" cm="1">
        <f t="array" ref="M70">_xlfn.IFS(A70="5lvl2",IF(K70&gt;=35,0,35-K70), A70="5lvl1",IF(L70&gt;=35,0,35-L70))</f>
        <v>4</v>
      </c>
    </row>
    <row r="71" spans="1:13" x14ac:dyDescent="0.3">
      <c r="A71" s="5" t="str">
        <f>IF(ISERROR(VLOOKUP(C71,'Caza lvl 1'!A:A,1,0)),"5lvl2","5lvl1")</f>
        <v>5lvl2</v>
      </c>
      <c r="B71" s="19" t="str">
        <f t="shared" si="8"/>
        <v>Cumplio</v>
      </c>
      <c r="C71" s="22">
        <v>1041187189</v>
      </c>
      <c r="D71" s="22" t="s">
        <v>83</v>
      </c>
      <c r="E71" s="24">
        <f t="shared" si="11"/>
        <v>12</v>
      </c>
      <c r="F71" s="23">
        <v>0</v>
      </c>
      <c r="G71" s="23">
        <v>5</v>
      </c>
      <c r="H71" s="23">
        <v>7</v>
      </c>
      <c r="I71" s="23">
        <v>0</v>
      </c>
      <c r="J71" s="23">
        <v>0</v>
      </c>
      <c r="K71" s="20">
        <f t="shared" si="9"/>
        <v>40</v>
      </c>
      <c r="L71" s="11">
        <f t="shared" si="10"/>
        <v>130</v>
      </c>
      <c r="M71" s="2" cm="1">
        <f t="array" ref="M71">_xlfn.IFS(A71="5lvl2",IF(K71&gt;=35,0,35-K71), A71="5lvl1",IF(L71&gt;=35,0,35-L71))</f>
        <v>0</v>
      </c>
    </row>
    <row r="72" spans="1:13" x14ac:dyDescent="0.3">
      <c r="A72" s="5" t="str">
        <f>IF(ISERROR(VLOOKUP(C72,'Caza lvl 1'!A:A,1,0)),"5lvl2","5lvl1")</f>
        <v>5lvl2</v>
      </c>
      <c r="B72" s="19" t="str">
        <f t="shared" si="8"/>
        <v>No cumplio</v>
      </c>
      <c r="C72" s="22">
        <v>1040811175</v>
      </c>
      <c r="D72" s="22" t="s">
        <v>84</v>
      </c>
      <c r="E72" s="24">
        <f t="shared" si="11"/>
        <v>7</v>
      </c>
      <c r="F72" s="23">
        <v>0</v>
      </c>
      <c r="G72" s="23">
        <v>5</v>
      </c>
      <c r="H72" s="23">
        <v>2</v>
      </c>
      <c r="I72" s="23">
        <v>0</v>
      </c>
      <c r="J72" s="23">
        <v>0</v>
      </c>
      <c r="K72" s="20">
        <f t="shared" si="9"/>
        <v>15</v>
      </c>
      <c r="L72" s="11">
        <f t="shared" si="10"/>
        <v>55</v>
      </c>
      <c r="M72" s="2" cm="1">
        <f t="array" ref="M72">_xlfn.IFS(A72="5lvl2",IF(K72&gt;=35,0,35-K72), A72="5lvl1",IF(L72&gt;=35,0,35-L72))</f>
        <v>20</v>
      </c>
    </row>
    <row r="73" spans="1:13" x14ac:dyDescent="0.3">
      <c r="A73" s="5" t="str">
        <f>IF(ISERROR(VLOOKUP(C73,'Caza lvl 1'!A:A,1,0)),"5lvl2","5lvl1")</f>
        <v>5lvl2</v>
      </c>
      <c r="B73" s="19" t="str">
        <f t="shared" si="8"/>
        <v>Cumplio</v>
      </c>
      <c r="C73" s="22">
        <v>526144427</v>
      </c>
      <c r="D73" s="22" t="s">
        <v>151</v>
      </c>
      <c r="E73" s="24">
        <f t="shared" si="11"/>
        <v>12</v>
      </c>
      <c r="F73" s="23">
        <v>0</v>
      </c>
      <c r="G73" s="23">
        <v>5</v>
      </c>
      <c r="H73" s="23">
        <v>6</v>
      </c>
      <c r="I73" s="23">
        <v>1</v>
      </c>
      <c r="J73" s="23">
        <v>0</v>
      </c>
      <c r="K73" s="20">
        <f t="shared" si="9"/>
        <v>44</v>
      </c>
      <c r="L73" s="11">
        <f t="shared" si="10"/>
        <v>145</v>
      </c>
      <c r="M73" s="2" cm="1">
        <f t="array" ref="M73">_xlfn.IFS(A73="5lvl2",IF(K73&gt;=35,0,35-K73), A73="5lvl1",IF(L73&gt;=35,0,35-L73))</f>
        <v>0</v>
      </c>
    </row>
    <row r="74" spans="1:13" x14ac:dyDescent="0.3">
      <c r="A74" s="5" t="str">
        <f>IF(ISERROR(VLOOKUP(C74,'Caza lvl 1'!A:A,1,0)),"5lvl2","5lvl1")</f>
        <v>5lvl2</v>
      </c>
      <c r="B74" s="19" t="str">
        <f t="shared" si="8"/>
        <v>Cumplio</v>
      </c>
      <c r="C74" s="22">
        <v>559847999</v>
      </c>
      <c r="D74" s="22" t="s">
        <v>86</v>
      </c>
      <c r="E74" s="24">
        <f t="shared" si="11"/>
        <v>27</v>
      </c>
      <c r="F74" s="23">
        <v>0</v>
      </c>
      <c r="G74" s="23">
        <v>24</v>
      </c>
      <c r="H74" s="23">
        <v>3</v>
      </c>
      <c r="I74" s="23">
        <v>0</v>
      </c>
      <c r="J74" s="23">
        <v>0</v>
      </c>
      <c r="K74" s="20">
        <f t="shared" si="9"/>
        <v>39</v>
      </c>
      <c r="L74" s="11">
        <f t="shared" si="10"/>
        <v>165</v>
      </c>
      <c r="M74" s="2" cm="1">
        <f t="array" ref="M74">_xlfn.IFS(A74="5lvl2",IF(K74&gt;=35,0,35-K74), A74="5lvl1",IF(L74&gt;=35,0,35-L74))</f>
        <v>0</v>
      </c>
    </row>
    <row r="75" spans="1:13" x14ac:dyDescent="0.3">
      <c r="A75" s="5" t="str">
        <f>IF(ISERROR(VLOOKUP(C75,'Caza lvl 1'!A:A,1,0)),"5lvl2","5lvl1")</f>
        <v>5lvl2</v>
      </c>
      <c r="B75" s="19" t="str">
        <f t="shared" si="8"/>
        <v>No cumplio</v>
      </c>
      <c r="C75" s="22">
        <v>1040607318</v>
      </c>
      <c r="D75" s="22" t="s">
        <v>87</v>
      </c>
      <c r="E75" s="24">
        <f t="shared" si="11"/>
        <v>12</v>
      </c>
      <c r="F75" s="23">
        <v>0</v>
      </c>
      <c r="G75" s="23">
        <v>10</v>
      </c>
      <c r="H75" s="23">
        <v>2</v>
      </c>
      <c r="I75" s="23">
        <v>0</v>
      </c>
      <c r="J75" s="23">
        <v>0</v>
      </c>
      <c r="K75" s="20">
        <f t="shared" si="9"/>
        <v>20</v>
      </c>
      <c r="L75" s="11">
        <f t="shared" si="10"/>
        <v>80</v>
      </c>
      <c r="M75" s="2" cm="1">
        <f t="array" ref="M75">_xlfn.IFS(A75="5lvl2",IF(K75&gt;=35,0,35-K75), A75="5lvl1",IF(L75&gt;=35,0,35-L75))</f>
        <v>15</v>
      </c>
    </row>
    <row r="76" spans="1:13" x14ac:dyDescent="0.3">
      <c r="A76" s="5" t="str">
        <f>IF(ISERROR(VLOOKUP(C76,'Caza lvl 1'!A:A,1,0)),"5lvl2","5lvl1")</f>
        <v>5lvl2</v>
      </c>
      <c r="B76" s="19" t="str">
        <f t="shared" si="8"/>
        <v>Cumplio</v>
      </c>
      <c r="C76" s="22">
        <v>605950874</v>
      </c>
      <c r="D76" s="22" t="s">
        <v>88</v>
      </c>
      <c r="E76" s="24">
        <f t="shared" si="11"/>
        <v>11</v>
      </c>
      <c r="F76" s="23">
        <v>0</v>
      </c>
      <c r="G76" s="23">
        <v>4</v>
      </c>
      <c r="H76" s="23">
        <v>7</v>
      </c>
      <c r="I76" s="23">
        <v>0</v>
      </c>
      <c r="J76" s="23">
        <v>0</v>
      </c>
      <c r="K76" s="20">
        <f t="shared" si="9"/>
        <v>39</v>
      </c>
      <c r="L76" s="11">
        <f t="shared" si="10"/>
        <v>125</v>
      </c>
      <c r="M76" s="2" cm="1">
        <f t="array" ref="M76">_xlfn.IFS(A76="5lvl2",IF(K76&gt;=35,0,35-K76), A76="5lvl1",IF(L76&gt;=35,0,35-L76))</f>
        <v>0</v>
      </c>
    </row>
    <row r="77" spans="1:13" x14ac:dyDescent="0.3">
      <c r="A77" s="5" t="str">
        <f>IF(ISERROR(VLOOKUP(C77,'Caza lvl 1'!A:A,1,0)),"5lvl2","5lvl1")</f>
        <v>5lvl2</v>
      </c>
      <c r="B77" s="19" t="str">
        <f t="shared" si="8"/>
        <v>Cumplio</v>
      </c>
      <c r="C77" s="22">
        <v>1923743214</v>
      </c>
      <c r="D77" s="22" t="s">
        <v>89</v>
      </c>
      <c r="E77" s="24">
        <f t="shared" si="11"/>
        <v>35</v>
      </c>
      <c r="F77" s="23">
        <v>0</v>
      </c>
      <c r="G77" s="23">
        <v>35</v>
      </c>
      <c r="H77" s="23">
        <v>0</v>
      </c>
      <c r="I77" s="23">
        <v>0</v>
      </c>
      <c r="J77" s="23">
        <v>0</v>
      </c>
      <c r="K77" s="20">
        <f t="shared" si="9"/>
        <v>35</v>
      </c>
      <c r="L77" s="11">
        <f t="shared" si="10"/>
        <v>175</v>
      </c>
      <c r="M77" s="2" cm="1">
        <f t="array" ref="M77">_xlfn.IFS(A77="5lvl2",IF(K77&gt;=35,0,35-K77), A77="5lvl1",IF(L77&gt;=35,0,35-L77))</f>
        <v>0</v>
      </c>
    </row>
    <row r="78" spans="1:13" x14ac:dyDescent="0.3">
      <c r="A78" s="5" t="str">
        <f>IF(ISERROR(VLOOKUP(C78,'Caza lvl 1'!A:A,1,0)),"5lvl2","5lvl1")</f>
        <v>5lvl2</v>
      </c>
      <c r="B78" s="19" t="str">
        <f t="shared" si="8"/>
        <v>Cumplio</v>
      </c>
      <c r="C78" s="22">
        <v>1913187635</v>
      </c>
      <c r="D78" s="22" t="s">
        <v>90</v>
      </c>
      <c r="E78" s="24">
        <f t="shared" si="11"/>
        <v>35</v>
      </c>
      <c r="F78" s="23">
        <v>0</v>
      </c>
      <c r="G78" s="23">
        <v>35</v>
      </c>
      <c r="H78" s="23">
        <v>0</v>
      </c>
      <c r="I78" s="23">
        <v>0</v>
      </c>
      <c r="J78" s="23">
        <v>0</v>
      </c>
      <c r="K78" s="20">
        <f t="shared" si="9"/>
        <v>35</v>
      </c>
      <c r="L78" s="11">
        <f t="shared" si="10"/>
        <v>175</v>
      </c>
      <c r="M78" s="2" cm="1">
        <f t="array" ref="M78">_xlfn.IFS(A78="5lvl2",IF(K78&gt;=35,0,35-K78), A78="5lvl1",IF(L78&gt;=35,0,35-L78))</f>
        <v>0</v>
      </c>
    </row>
    <row r="79" spans="1:13" x14ac:dyDescent="0.3">
      <c r="A79" s="5" t="str">
        <f>IF(ISERROR(VLOOKUP(C79,'Caza lvl 1'!A:A,1,0)),"5lvl2","5lvl1")</f>
        <v>5lvl2</v>
      </c>
      <c r="B79" s="19" t="str">
        <f t="shared" si="8"/>
        <v>Cumplio</v>
      </c>
      <c r="C79" s="22">
        <v>1919512898</v>
      </c>
      <c r="D79" s="22" t="s">
        <v>91</v>
      </c>
      <c r="E79" s="24">
        <f t="shared" si="11"/>
        <v>27</v>
      </c>
      <c r="F79" s="23">
        <v>0</v>
      </c>
      <c r="G79" s="23">
        <v>25</v>
      </c>
      <c r="H79" s="23">
        <v>2</v>
      </c>
      <c r="I79" s="23">
        <v>0</v>
      </c>
      <c r="J79" s="23">
        <v>0</v>
      </c>
      <c r="K79" s="20">
        <f t="shared" si="9"/>
        <v>35</v>
      </c>
      <c r="L79" s="11">
        <f t="shared" si="10"/>
        <v>155</v>
      </c>
      <c r="M79" s="2" cm="1">
        <f t="array" ref="M79">_xlfn.IFS(A79="5lvl2",IF(K79&gt;=35,0,35-K79), A79="5lvl1",IF(L79&gt;=35,0,35-L79))</f>
        <v>0</v>
      </c>
    </row>
    <row r="80" spans="1:13" x14ac:dyDescent="0.3">
      <c r="A80" s="5" t="str">
        <f>IF(ISERROR(VLOOKUP(C80,'Caza lvl 1'!A:A,1,0)),"5lvl2","5lvl1")</f>
        <v>5lvl2</v>
      </c>
      <c r="B80" s="19" t="str">
        <f t="shared" si="8"/>
        <v>Cumplio</v>
      </c>
      <c r="C80" s="22">
        <v>651360013</v>
      </c>
      <c r="D80" s="22" t="s">
        <v>152</v>
      </c>
      <c r="E80" s="24">
        <f t="shared" si="11"/>
        <v>9</v>
      </c>
      <c r="F80" s="23">
        <v>0</v>
      </c>
      <c r="G80" s="23">
        <v>0</v>
      </c>
      <c r="H80" s="23">
        <v>9</v>
      </c>
      <c r="I80" s="23">
        <v>0</v>
      </c>
      <c r="J80" s="23">
        <v>0</v>
      </c>
      <c r="K80" s="20">
        <f t="shared" si="9"/>
        <v>45</v>
      </c>
      <c r="L80" s="11">
        <f t="shared" si="10"/>
        <v>135</v>
      </c>
      <c r="M80" s="2" cm="1">
        <f t="array" ref="M80">_xlfn.IFS(A80="5lvl2",IF(K80&gt;=35,0,35-K80), A80="5lvl1",IF(L80&gt;=35,0,35-L80))</f>
        <v>0</v>
      </c>
    </row>
    <row r="81" spans="1:13" x14ac:dyDescent="0.3">
      <c r="A81" s="5" t="str">
        <f>IF(ISERROR(VLOOKUP(C81,'Caza lvl 1'!A:A,1,0)),"5lvl2","5lvl1")</f>
        <v>5lvl2</v>
      </c>
      <c r="B81" s="19" t="str">
        <f t="shared" si="8"/>
        <v>Cumplio</v>
      </c>
      <c r="C81" s="22">
        <v>395091349</v>
      </c>
      <c r="D81" s="22" t="s">
        <v>92</v>
      </c>
      <c r="E81" s="24">
        <f t="shared" si="11"/>
        <v>56</v>
      </c>
      <c r="F81" s="23">
        <v>0</v>
      </c>
      <c r="G81" s="23">
        <v>52</v>
      </c>
      <c r="H81" s="23">
        <v>3</v>
      </c>
      <c r="I81" s="23">
        <v>1</v>
      </c>
      <c r="J81" s="23">
        <v>0</v>
      </c>
      <c r="K81" s="20">
        <f t="shared" si="9"/>
        <v>76</v>
      </c>
      <c r="L81" s="11">
        <f t="shared" si="10"/>
        <v>335</v>
      </c>
      <c r="M81" s="2" cm="1">
        <f t="array" ref="M81">_xlfn.IFS(A81="5lvl2",IF(K81&gt;=35,0,35-K81), A81="5lvl1",IF(L81&gt;=35,0,35-L81))</f>
        <v>0</v>
      </c>
    </row>
    <row r="82" spans="1:13" x14ac:dyDescent="0.3">
      <c r="A82" s="5" t="str">
        <f>IF(ISERROR(VLOOKUP(C82,'Caza lvl 1'!A:A,1,0)),"5lvl2","5lvl1")</f>
        <v>5lvl2</v>
      </c>
      <c r="B82" s="19" t="str">
        <f t="shared" si="8"/>
        <v>Cumplio</v>
      </c>
      <c r="C82" s="22">
        <v>677616563</v>
      </c>
      <c r="D82" s="22" t="s">
        <v>93</v>
      </c>
      <c r="E82" s="24">
        <f t="shared" si="11"/>
        <v>28</v>
      </c>
      <c r="F82" s="23">
        <v>0</v>
      </c>
      <c r="G82" s="23">
        <v>16</v>
      </c>
      <c r="H82" s="23">
        <v>10</v>
      </c>
      <c r="I82" s="23">
        <v>2</v>
      </c>
      <c r="J82" s="23">
        <v>0</v>
      </c>
      <c r="K82" s="20">
        <f t="shared" si="9"/>
        <v>84</v>
      </c>
      <c r="L82" s="11">
        <f t="shared" si="10"/>
        <v>290</v>
      </c>
      <c r="M82" s="2" cm="1">
        <f t="array" ref="M82">_xlfn.IFS(A82="5lvl2",IF(K82&gt;=35,0,35-K82), A82="5lvl1",IF(L82&gt;=35,0,35-L82))</f>
        <v>0</v>
      </c>
    </row>
    <row r="83" spans="1:13" x14ac:dyDescent="0.3">
      <c r="A83" s="5" t="str">
        <f>IF(ISERROR(VLOOKUP(C83,'Caza lvl 1'!A:A,1,0)),"5lvl2","5lvl1")</f>
        <v>5lvl2</v>
      </c>
      <c r="B83" s="19" t="str">
        <f t="shared" si="8"/>
        <v>No cumplio</v>
      </c>
      <c r="C83" s="22">
        <v>321764007</v>
      </c>
      <c r="D83" s="22" t="s">
        <v>153</v>
      </c>
      <c r="E83" s="24">
        <f t="shared" si="11"/>
        <v>1</v>
      </c>
      <c r="F83" s="23">
        <v>0</v>
      </c>
      <c r="G83" s="23">
        <v>0</v>
      </c>
      <c r="H83" s="23">
        <v>1</v>
      </c>
      <c r="I83" s="23">
        <v>0</v>
      </c>
      <c r="J83" s="23">
        <v>0</v>
      </c>
      <c r="K83" s="20">
        <f t="shared" si="9"/>
        <v>5</v>
      </c>
      <c r="L83" s="11">
        <f t="shared" si="10"/>
        <v>15</v>
      </c>
      <c r="M83" s="2" cm="1">
        <f t="array" ref="M83">_xlfn.IFS(A83="5lvl2",IF(K83&gt;=35,0,35-K83), A83="5lvl1",IF(L83&gt;=35,0,35-L83))</f>
        <v>30</v>
      </c>
    </row>
    <row r="84" spans="1:13" x14ac:dyDescent="0.3">
      <c r="A84" s="5" t="str">
        <f>IF(ISERROR(VLOOKUP(C84,'Caza lvl 1'!A:A,1,0)),"5lvl2","5lvl1")</f>
        <v>5lvl2</v>
      </c>
      <c r="B84" s="19" t="str">
        <f t="shared" si="8"/>
        <v>Cumplio</v>
      </c>
      <c r="C84" s="22">
        <v>640955210</v>
      </c>
      <c r="D84" s="22" t="s">
        <v>94</v>
      </c>
      <c r="E84" s="24">
        <f t="shared" si="11"/>
        <v>7</v>
      </c>
      <c r="F84" s="23">
        <v>0</v>
      </c>
      <c r="G84" s="23">
        <v>0</v>
      </c>
      <c r="H84" s="23">
        <v>6</v>
      </c>
      <c r="I84" s="23">
        <v>1</v>
      </c>
      <c r="J84" s="23">
        <v>0</v>
      </c>
      <c r="K84" s="20">
        <f t="shared" si="9"/>
        <v>39</v>
      </c>
      <c r="L84" s="11">
        <f t="shared" si="10"/>
        <v>120</v>
      </c>
      <c r="M84" s="2" cm="1">
        <f t="array" ref="M84">_xlfn.IFS(A84="5lvl2",IF(K84&gt;=35,0,35-K84), A84="5lvl1",IF(L84&gt;=35,0,35-L84))</f>
        <v>0</v>
      </c>
    </row>
    <row r="85" spans="1:13" x14ac:dyDescent="0.3">
      <c r="A85" s="5" t="str">
        <f>IF(ISERROR(VLOOKUP(C85,'Caza lvl 1'!A:A,1,0)),"5lvl2","5lvl1")</f>
        <v>5lvl2</v>
      </c>
      <c r="B85" s="19" t="str">
        <f t="shared" si="8"/>
        <v>Cumplio</v>
      </c>
      <c r="C85" s="22">
        <v>424972261</v>
      </c>
      <c r="D85" s="22" t="s">
        <v>95</v>
      </c>
      <c r="E85" s="24">
        <f t="shared" si="11"/>
        <v>24</v>
      </c>
      <c r="F85" s="23">
        <v>0</v>
      </c>
      <c r="G85" s="23">
        <v>16</v>
      </c>
      <c r="H85" s="23">
        <v>7</v>
      </c>
      <c r="I85" s="23">
        <v>1</v>
      </c>
      <c r="J85" s="23">
        <v>0</v>
      </c>
      <c r="K85" s="20">
        <f t="shared" si="9"/>
        <v>60</v>
      </c>
      <c r="L85" s="11">
        <f t="shared" si="10"/>
        <v>215</v>
      </c>
      <c r="M85" s="2" cm="1">
        <f t="array" ref="M85">_xlfn.IFS(A85="5lvl2",IF(K85&gt;=35,0,35-K85), A85="5lvl1",IF(L85&gt;=35,0,35-L85))</f>
        <v>0</v>
      </c>
    </row>
    <row r="86" spans="1:13" x14ac:dyDescent="0.3">
      <c r="A86" s="5" t="str">
        <f>IF(ISERROR(VLOOKUP(C86,'Caza lvl 1'!A:A,1,0)),"5lvl2","5lvl1")</f>
        <v>5lvl2</v>
      </c>
      <c r="B86" s="19" t="str">
        <f t="shared" si="8"/>
        <v>Cumplio</v>
      </c>
      <c r="C86" s="22">
        <v>940947273</v>
      </c>
      <c r="D86" s="22" t="s">
        <v>154</v>
      </c>
      <c r="E86" s="24">
        <f t="shared" si="11"/>
        <v>26</v>
      </c>
      <c r="F86" s="23">
        <v>0</v>
      </c>
      <c r="G86" s="23">
        <v>23</v>
      </c>
      <c r="H86" s="23">
        <v>3</v>
      </c>
      <c r="I86" s="23">
        <v>0</v>
      </c>
      <c r="J86" s="23">
        <v>0</v>
      </c>
      <c r="K86" s="20">
        <f t="shared" si="9"/>
        <v>38</v>
      </c>
      <c r="L86" s="11">
        <f t="shared" si="10"/>
        <v>160</v>
      </c>
      <c r="M86" s="2" cm="1">
        <f t="array" ref="M86">_xlfn.IFS(A86="5lvl2",IF(K86&gt;=35,0,35-K86), A86="5lvl1",IF(L86&gt;=35,0,35-L86))</f>
        <v>0</v>
      </c>
    </row>
    <row r="87" spans="1:13" x14ac:dyDescent="0.3">
      <c r="A87" s="5" t="str">
        <f>IF(ISERROR(VLOOKUP(C87,'Caza lvl 1'!A:A,1,0)),"5lvl2","5lvl1")</f>
        <v>5lvl2</v>
      </c>
      <c r="B87" s="19" t="str">
        <f t="shared" si="8"/>
        <v>Cumplio</v>
      </c>
      <c r="C87" s="22">
        <v>625607335</v>
      </c>
      <c r="D87" s="22" t="s">
        <v>147</v>
      </c>
      <c r="E87" s="24">
        <f t="shared" si="11"/>
        <v>31</v>
      </c>
      <c r="F87" s="23">
        <v>0</v>
      </c>
      <c r="G87" s="23">
        <v>28</v>
      </c>
      <c r="H87" s="23">
        <v>3</v>
      </c>
      <c r="I87" s="23">
        <v>0</v>
      </c>
      <c r="J87" s="23">
        <v>0</v>
      </c>
      <c r="K87" s="20">
        <f t="shared" si="9"/>
        <v>43</v>
      </c>
      <c r="L87" s="11">
        <f t="shared" si="10"/>
        <v>185</v>
      </c>
      <c r="M87" s="2" cm="1">
        <f t="array" ref="M87">_xlfn.IFS(A87="5lvl2",IF(K87&gt;=35,0,35-K87), A87="5lvl1",IF(L87&gt;=35,0,35-L87))</f>
        <v>0</v>
      </c>
    </row>
    <row r="88" spans="1:13" x14ac:dyDescent="0.3">
      <c r="A88" s="5" t="str">
        <f>IF(ISERROR(VLOOKUP(C88,'Caza lvl 1'!A:A,1,0)),"5lvl2","5lvl1")</f>
        <v>5lvl2</v>
      </c>
      <c r="B88" s="19" t="str">
        <f t="shared" si="8"/>
        <v>No cumplio</v>
      </c>
      <c r="C88" s="22">
        <v>710619616</v>
      </c>
      <c r="D88" s="22" t="s">
        <v>96</v>
      </c>
      <c r="E88" s="24">
        <f t="shared" si="11"/>
        <v>1</v>
      </c>
      <c r="F88" s="23">
        <v>0</v>
      </c>
      <c r="G88" s="23">
        <v>0</v>
      </c>
      <c r="H88" s="23">
        <v>0</v>
      </c>
      <c r="I88" s="23">
        <v>1</v>
      </c>
      <c r="J88" s="23">
        <v>0</v>
      </c>
      <c r="K88" s="20">
        <f t="shared" si="9"/>
        <v>9</v>
      </c>
      <c r="L88" s="11">
        <f t="shared" si="10"/>
        <v>30</v>
      </c>
      <c r="M88" s="2" cm="1">
        <f t="array" ref="M88">_xlfn.IFS(A88="5lvl2",IF(K88&gt;=35,0,35-K88), A88="5lvl1",IF(L88&gt;=35,0,35-L88))</f>
        <v>26</v>
      </c>
    </row>
    <row r="89" spans="1:13" x14ac:dyDescent="0.3">
      <c r="A89" s="5" t="str">
        <f>IF(ISERROR(VLOOKUP(C89,'Caza lvl 1'!A:A,1,0)),"5lvl2","5lvl1")</f>
        <v>5lvl2</v>
      </c>
      <c r="B89" s="19" t="str">
        <f t="shared" si="8"/>
        <v>No cumplio</v>
      </c>
      <c r="C89" s="22">
        <v>989087967</v>
      </c>
      <c r="D89" s="22" t="s">
        <v>98</v>
      </c>
      <c r="E89" s="24">
        <f t="shared" si="11"/>
        <v>4</v>
      </c>
      <c r="F89" s="23">
        <v>0</v>
      </c>
      <c r="G89" s="23">
        <v>2</v>
      </c>
      <c r="H89" s="23">
        <v>2</v>
      </c>
      <c r="I89" s="23">
        <v>0</v>
      </c>
      <c r="J89" s="23">
        <v>0</v>
      </c>
      <c r="K89" s="20">
        <f t="shared" si="9"/>
        <v>12</v>
      </c>
      <c r="L89" s="11">
        <f t="shared" si="10"/>
        <v>40</v>
      </c>
      <c r="M89" s="2" cm="1">
        <f t="array" ref="M89">_xlfn.IFS(A89="5lvl2",IF(K89&gt;=35,0,35-K89), A89="5lvl1",IF(L89&gt;=35,0,35-L89))</f>
        <v>23</v>
      </c>
    </row>
    <row r="90" spans="1:13" x14ac:dyDescent="0.3">
      <c r="A90" s="5" t="str">
        <f>IF(ISERROR(VLOOKUP(C90,'Caza lvl 1'!A:A,1,0)),"5lvl2","5lvl1")</f>
        <v>5lvl2</v>
      </c>
      <c r="B90" s="19" t="str">
        <f t="shared" si="8"/>
        <v>No cumplio</v>
      </c>
      <c r="C90" s="22">
        <v>1769834648</v>
      </c>
      <c r="D90" s="22" t="s">
        <v>99</v>
      </c>
      <c r="E90" s="24">
        <f t="shared" si="11"/>
        <v>1</v>
      </c>
      <c r="F90" s="23">
        <v>0</v>
      </c>
      <c r="G90" s="23">
        <v>1</v>
      </c>
      <c r="H90" s="23">
        <v>0</v>
      </c>
      <c r="I90" s="23">
        <v>0</v>
      </c>
      <c r="J90" s="23">
        <v>0</v>
      </c>
      <c r="K90" s="20">
        <f t="shared" si="9"/>
        <v>1</v>
      </c>
      <c r="L90" s="11">
        <f t="shared" si="10"/>
        <v>5</v>
      </c>
      <c r="M90" s="2" cm="1">
        <f t="array" ref="M90">_xlfn.IFS(A90="5lvl2",IF(K90&gt;=35,0,35-K90), A90="5lvl1",IF(L90&gt;=35,0,35-L90))</f>
        <v>34</v>
      </c>
    </row>
    <row r="91" spans="1:13" x14ac:dyDescent="0.3">
      <c r="A91" s="5" t="str">
        <f>IF(ISERROR(VLOOKUP(C91,'Caza lvl 1'!A:A,1,0)),"5lvl2","5lvl1")</f>
        <v>5lvl2</v>
      </c>
      <c r="B91" s="19" t="str">
        <f t="shared" si="8"/>
        <v>No cumplio</v>
      </c>
      <c r="C91" s="22">
        <v>927459756</v>
      </c>
      <c r="D91" s="22" t="s">
        <v>100</v>
      </c>
      <c r="E91" s="24">
        <f t="shared" si="11"/>
        <v>4</v>
      </c>
      <c r="F91" s="23">
        <v>0</v>
      </c>
      <c r="G91" s="23">
        <v>1</v>
      </c>
      <c r="H91" s="23">
        <v>0</v>
      </c>
      <c r="I91" s="23">
        <v>3</v>
      </c>
      <c r="J91" s="23">
        <v>0</v>
      </c>
      <c r="K91" s="20">
        <f t="shared" si="9"/>
        <v>28</v>
      </c>
      <c r="L91" s="11">
        <f t="shared" si="10"/>
        <v>95</v>
      </c>
      <c r="M91" s="2" cm="1">
        <f t="array" ref="M91">_xlfn.IFS(A91="5lvl2",IF(K91&gt;=35,0,35-K91), A91="5lvl1",IF(L91&gt;=35,0,35-L91))</f>
        <v>7</v>
      </c>
    </row>
    <row r="92" spans="1:13" x14ac:dyDescent="0.3">
      <c r="A92" s="5" t="str">
        <f>IF(ISERROR(VLOOKUP(C92,'Caza lvl 1'!A:A,1,0)),"5lvl2","5lvl1")</f>
        <v>5lvl2</v>
      </c>
      <c r="B92" s="19" t="str">
        <f t="shared" si="8"/>
        <v>Cumplio</v>
      </c>
      <c r="C92" s="22">
        <v>1467795273</v>
      </c>
      <c r="D92" s="22" t="s">
        <v>101</v>
      </c>
      <c r="E92" s="24">
        <f t="shared" si="11"/>
        <v>7</v>
      </c>
      <c r="F92" s="23">
        <v>0</v>
      </c>
      <c r="G92" s="23">
        <v>0</v>
      </c>
      <c r="H92" s="23">
        <v>7</v>
      </c>
      <c r="I92" s="23">
        <v>0</v>
      </c>
      <c r="J92" s="23">
        <v>0</v>
      </c>
      <c r="K92" s="20">
        <f t="shared" si="9"/>
        <v>35</v>
      </c>
      <c r="L92" s="11">
        <f t="shared" si="10"/>
        <v>105</v>
      </c>
      <c r="M92" s="2" cm="1">
        <f t="array" ref="M92">_xlfn.IFS(A92="5lvl2",IF(K92&gt;=35,0,35-K92), A92="5lvl1",IF(L92&gt;=35,0,35-L92))</f>
        <v>0</v>
      </c>
    </row>
    <row r="93" spans="1:13" x14ac:dyDescent="0.3">
      <c r="A93" s="5" t="str">
        <f>IF(ISERROR(VLOOKUP(C93,'Caza lvl 1'!A:A,1,0)),"5lvl2","5lvl1")</f>
        <v>5lvl2</v>
      </c>
      <c r="B93" s="19" t="str">
        <f t="shared" si="8"/>
        <v>Cumplio</v>
      </c>
      <c r="C93" s="22">
        <v>821134729</v>
      </c>
      <c r="D93" s="22" t="s">
        <v>102</v>
      </c>
      <c r="E93" s="24">
        <f t="shared" si="11"/>
        <v>39</v>
      </c>
      <c r="F93" s="23">
        <v>0</v>
      </c>
      <c r="G93" s="23">
        <v>39</v>
      </c>
      <c r="H93" s="23">
        <v>0</v>
      </c>
      <c r="I93" s="23">
        <v>0</v>
      </c>
      <c r="J93" s="23">
        <v>0</v>
      </c>
      <c r="K93" s="20">
        <f t="shared" si="9"/>
        <v>39</v>
      </c>
      <c r="L93" s="11">
        <f t="shared" si="10"/>
        <v>195</v>
      </c>
      <c r="M93" s="2" cm="1">
        <f t="array" ref="M93">_xlfn.IFS(A93="5lvl2",IF(K93&gt;=35,0,35-K93), A93="5lvl1",IF(L93&gt;=35,0,35-L93))</f>
        <v>0</v>
      </c>
    </row>
    <row r="94" spans="1:13" x14ac:dyDescent="0.3">
      <c r="A94" s="5" t="str">
        <f>IF(ISERROR(VLOOKUP(C94,'Caza lvl 1'!A:A,1,0)),"5lvl2","5lvl1")</f>
        <v>5lvl2</v>
      </c>
      <c r="B94" s="19" t="str">
        <f t="shared" si="8"/>
        <v>Cumplio</v>
      </c>
      <c r="C94" s="22">
        <v>777343597</v>
      </c>
      <c r="D94" s="22" t="s">
        <v>103</v>
      </c>
      <c r="E94" s="24">
        <f t="shared" si="11"/>
        <v>29</v>
      </c>
      <c r="F94" s="23">
        <v>0</v>
      </c>
      <c r="G94" s="23">
        <v>27</v>
      </c>
      <c r="H94" s="23">
        <v>2</v>
      </c>
      <c r="I94" s="23">
        <v>0</v>
      </c>
      <c r="J94" s="23">
        <v>0</v>
      </c>
      <c r="K94" s="20">
        <f t="shared" si="9"/>
        <v>37</v>
      </c>
      <c r="L94" s="11">
        <f t="shared" si="10"/>
        <v>165</v>
      </c>
      <c r="M94" s="2" cm="1">
        <f t="array" ref="M94">_xlfn.IFS(A94="5lvl2",IF(K94&gt;=35,0,35-K94), A94="5lvl1",IF(L94&gt;=35,0,35-L94))</f>
        <v>0</v>
      </c>
    </row>
    <row r="95" spans="1:13" x14ac:dyDescent="0.3">
      <c r="A95" s="5" t="str">
        <f>IF(ISERROR(VLOOKUP(C95,'Caza lvl 1'!A:A,1,0)),"5lvl2","5lvl1")</f>
        <v>5lvl2</v>
      </c>
      <c r="B95" s="19" t="str">
        <f t="shared" si="8"/>
        <v>Cumplio</v>
      </c>
      <c r="C95" s="22">
        <v>701806212</v>
      </c>
      <c r="D95" s="22" t="s">
        <v>104</v>
      </c>
      <c r="E95" s="24">
        <f t="shared" si="11"/>
        <v>36</v>
      </c>
      <c r="F95" s="23">
        <v>0</v>
      </c>
      <c r="G95" s="23">
        <v>24</v>
      </c>
      <c r="H95" s="23">
        <v>12</v>
      </c>
      <c r="I95" s="23">
        <v>0</v>
      </c>
      <c r="J95" s="23">
        <v>0</v>
      </c>
      <c r="K95" s="20">
        <f t="shared" si="9"/>
        <v>84</v>
      </c>
      <c r="L95" s="11">
        <f t="shared" si="10"/>
        <v>300</v>
      </c>
      <c r="M95" s="2" cm="1">
        <f t="array" ref="M95">_xlfn.IFS(A95="5lvl2",IF(K95&gt;=35,0,35-K95), A95="5lvl1",IF(L95&gt;=35,0,35-L95))</f>
        <v>0</v>
      </c>
    </row>
    <row r="96" spans="1:13" x14ac:dyDescent="0.3">
      <c r="A96" s="5" t="str">
        <f>IF(ISERROR(VLOOKUP(C96,'Caza lvl 1'!A:A,1,0)),"5lvl2","5lvl1")</f>
        <v>5lvl1</v>
      </c>
      <c r="B96" s="19" t="str">
        <f t="shared" si="8"/>
        <v>Cumplio</v>
      </c>
      <c r="C96" s="22">
        <v>1264043363</v>
      </c>
      <c r="D96" s="22" t="s">
        <v>105</v>
      </c>
      <c r="E96" s="24">
        <f t="shared" si="11"/>
        <v>7</v>
      </c>
      <c r="F96" s="23">
        <v>0</v>
      </c>
      <c r="G96" s="23">
        <v>0</v>
      </c>
      <c r="H96" s="23">
        <v>7</v>
      </c>
      <c r="I96" s="23">
        <v>0</v>
      </c>
      <c r="J96" s="23">
        <v>0</v>
      </c>
      <c r="K96" s="20">
        <f t="shared" si="9"/>
        <v>35</v>
      </c>
      <c r="L96" s="11">
        <f t="shared" si="10"/>
        <v>105</v>
      </c>
      <c r="M96" s="2" cm="1">
        <f t="array" ref="M96">_xlfn.IFS(A96="5lvl2",IF(K96&gt;=35,0,35-K96), A96="5lvl1",IF(L96&gt;=35,0,35-L96))</f>
        <v>0</v>
      </c>
    </row>
    <row r="97" spans="1:13" x14ac:dyDescent="0.3">
      <c r="A97" s="5" t="str">
        <f>IF(ISERROR(VLOOKUP(C97,'Caza lvl 1'!A:A,1,0)),"5lvl2","5lvl1")</f>
        <v>5lvl2</v>
      </c>
      <c r="B97" s="19" t="str">
        <f t="shared" si="8"/>
        <v>Cumplio</v>
      </c>
      <c r="C97" s="22">
        <v>1917368618</v>
      </c>
      <c r="D97" s="22" t="s">
        <v>106</v>
      </c>
      <c r="E97" s="24">
        <f t="shared" si="11"/>
        <v>31</v>
      </c>
      <c r="F97" s="23">
        <v>0</v>
      </c>
      <c r="G97" s="23">
        <v>30</v>
      </c>
      <c r="H97" s="23">
        <v>1</v>
      </c>
      <c r="I97" s="23">
        <v>0</v>
      </c>
      <c r="J97" s="23">
        <v>0</v>
      </c>
      <c r="K97" s="20">
        <f t="shared" si="9"/>
        <v>35</v>
      </c>
      <c r="L97" s="11">
        <f t="shared" si="10"/>
        <v>165</v>
      </c>
      <c r="M97" s="2" cm="1">
        <f t="array" ref="M97">_xlfn.IFS(A97="5lvl2",IF(K97&gt;=35,0,35-K97), A97="5lvl1",IF(L97&gt;=35,0,35-L97))</f>
        <v>0</v>
      </c>
    </row>
    <row r="98" spans="1:13" x14ac:dyDescent="0.3">
      <c r="A98" s="5" t="str">
        <f>IF(ISERROR(VLOOKUP(C98,'Caza lvl 1'!A:A,1,0)),"5lvl2","5lvl1")</f>
        <v>5lvl2</v>
      </c>
      <c r="B98" s="19" t="str">
        <f t="shared" si="8"/>
        <v>Cumplio</v>
      </c>
      <c r="C98" s="22">
        <v>1806182451</v>
      </c>
      <c r="D98" s="22" t="s">
        <v>107</v>
      </c>
      <c r="E98" s="24">
        <f t="shared" si="11"/>
        <v>7</v>
      </c>
      <c r="F98" s="23">
        <v>0</v>
      </c>
      <c r="G98" s="23">
        <v>2</v>
      </c>
      <c r="H98" s="23">
        <v>3</v>
      </c>
      <c r="I98" s="23">
        <v>2</v>
      </c>
      <c r="J98" s="23">
        <v>0</v>
      </c>
      <c r="K98" s="20">
        <f t="shared" si="9"/>
        <v>35</v>
      </c>
      <c r="L98" s="11">
        <f t="shared" si="10"/>
        <v>115</v>
      </c>
      <c r="M98" s="2" cm="1">
        <f t="array" ref="M98">_xlfn.IFS(A98="5lvl2",IF(K98&gt;=35,0,35-K98), A98="5lvl1",IF(L98&gt;=35,0,35-L98))</f>
        <v>0</v>
      </c>
    </row>
    <row r="99" spans="1:13" x14ac:dyDescent="0.3">
      <c r="A99" s="5" t="str">
        <f>IF(ISERROR(VLOOKUP(C99,'Caza lvl 1'!A:A,1,0)),"5lvl2","5lvl1")</f>
        <v>5lvl2</v>
      </c>
      <c r="B99" s="19" t="str">
        <f t="shared" si="8"/>
        <v>Cumplio</v>
      </c>
      <c r="C99" s="22">
        <v>1727138266</v>
      </c>
      <c r="D99" s="22" t="s">
        <v>108</v>
      </c>
      <c r="E99" s="24">
        <f t="shared" si="11"/>
        <v>40</v>
      </c>
      <c r="F99" s="23">
        <v>0</v>
      </c>
      <c r="G99" s="23">
        <v>39</v>
      </c>
      <c r="H99" s="23">
        <v>1</v>
      </c>
      <c r="I99" s="23">
        <v>0</v>
      </c>
      <c r="J99" s="23">
        <v>0</v>
      </c>
      <c r="K99" s="20">
        <f t="shared" si="9"/>
        <v>44</v>
      </c>
      <c r="L99" s="11">
        <f t="shared" si="10"/>
        <v>210</v>
      </c>
      <c r="M99" s="2" cm="1">
        <f t="array" ref="M99">_xlfn.IFS(A99="5lvl2",IF(K99&gt;=35,0,35-K99), A99="5lvl1",IF(L99&gt;=35,0,35-L99))</f>
        <v>0</v>
      </c>
    </row>
    <row r="100" spans="1:13" x14ac:dyDescent="0.3">
      <c r="A100" s="5" t="str">
        <f>IF(ISERROR(VLOOKUP(C100,'Caza lvl 1'!A:A,1,0)),"5lvl2","5lvl1")</f>
        <v>5lvl1</v>
      </c>
      <c r="B100" s="19" t="str">
        <f t="shared" ref="B100:B106" si="12">_xlfn.IFS(A100 = "5lvl2",IF(K100&gt;=35,"Cumplio", "No cumplio"),A100 = "5lvl1",IF(L100&gt;= 35,"Cumplio","No cumplio"))</f>
        <v>No cumplio</v>
      </c>
      <c r="C100" s="22">
        <v>1931591455</v>
      </c>
      <c r="D100" s="22" t="s">
        <v>110</v>
      </c>
      <c r="E100" s="24">
        <f t="shared" si="11"/>
        <v>6</v>
      </c>
      <c r="F100" s="23">
        <v>0</v>
      </c>
      <c r="G100" s="23">
        <v>6</v>
      </c>
      <c r="H100" s="23">
        <v>0</v>
      </c>
      <c r="I100" s="23">
        <v>0</v>
      </c>
      <c r="J100" s="23">
        <v>0</v>
      </c>
      <c r="K100" s="20">
        <f t="shared" ref="K100:K106" si="13">(H100*5)+(I100*9)+(J100*18)+G100</f>
        <v>6</v>
      </c>
      <c r="L100" s="11">
        <f t="shared" ref="L100:L106" si="14">(G100*5)+(H100*15)+(I100*30)+(J100*70)+F100</f>
        <v>30</v>
      </c>
      <c r="M100" s="2" cm="1">
        <f t="array" ref="M100">_xlfn.IFS(A100="5lvl2",IF(K100&gt;=35,0,35-K100), A100="5lvl1",IF(L100&gt;=35,0,35-L100))</f>
        <v>5</v>
      </c>
    </row>
    <row r="101" spans="1:13" x14ac:dyDescent="0.3">
      <c r="A101" s="5" t="str">
        <f>IF(ISERROR(VLOOKUP(C101,'Caza lvl 1'!A:A,1,0)),"5lvl2","5lvl1")</f>
        <v>5lvl1</v>
      </c>
      <c r="B101" s="19" t="str">
        <f t="shared" si="12"/>
        <v>No cumplio</v>
      </c>
      <c r="C101" s="22">
        <v>1367372226</v>
      </c>
      <c r="D101" s="22" t="s">
        <v>123</v>
      </c>
      <c r="E101" s="24">
        <f t="shared" si="11"/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0">
        <f t="shared" si="13"/>
        <v>0</v>
      </c>
      <c r="L101" s="11">
        <f t="shared" si="14"/>
        <v>0</v>
      </c>
      <c r="M101" s="2" cm="1">
        <f t="array" ref="M101">_xlfn.IFS(A101="5lvl2",IF(K101&gt;=35,0,35-K101), A101="5lvl1",IF(L101&gt;=35,0,35-L101))</f>
        <v>35</v>
      </c>
    </row>
    <row r="102" spans="1:13" x14ac:dyDescent="0.3">
      <c r="A102" s="5" t="str">
        <f>IF(ISERROR(VLOOKUP(C102,'Caza lvl 1'!A:A,1,0)),"5lvl2","5lvl1")</f>
        <v>5lvl2</v>
      </c>
      <c r="B102" s="19" t="str">
        <f t="shared" si="12"/>
        <v>No cumplio</v>
      </c>
      <c r="C102" s="22">
        <v>919665444</v>
      </c>
      <c r="D102" s="22" t="s">
        <v>148</v>
      </c>
      <c r="E102" s="24">
        <f t="shared" si="11"/>
        <v>26</v>
      </c>
      <c r="F102" s="23">
        <v>0</v>
      </c>
      <c r="G102" s="23">
        <v>26</v>
      </c>
      <c r="H102" s="23">
        <v>0</v>
      </c>
      <c r="I102" s="23">
        <v>0</v>
      </c>
      <c r="J102" s="23">
        <v>0</v>
      </c>
      <c r="K102" s="20">
        <f t="shared" si="13"/>
        <v>26</v>
      </c>
      <c r="L102" s="11">
        <f t="shared" si="14"/>
        <v>130</v>
      </c>
      <c r="M102" s="2" cm="1">
        <f t="array" ref="M102">_xlfn.IFS(A102="5lvl2",IF(K102&gt;=35,0,35-K102), A102="5lvl1",IF(L102&gt;=35,0,35-L102))</f>
        <v>9</v>
      </c>
    </row>
    <row r="103" spans="1:13" x14ac:dyDescent="0.3">
      <c r="A103" s="5" t="str">
        <f>IF(ISERROR(VLOOKUP(C103,'Caza lvl 1'!A:A,1,0)),"5lvl2","5lvl1")</f>
        <v>5lvl2</v>
      </c>
      <c r="B103" s="19" t="str">
        <f t="shared" si="12"/>
        <v>Cumplio</v>
      </c>
      <c r="C103" s="22">
        <v>937413870</v>
      </c>
      <c r="D103" s="22" t="s">
        <v>112</v>
      </c>
      <c r="E103" s="24">
        <f t="shared" si="11"/>
        <v>35</v>
      </c>
      <c r="F103" s="23">
        <v>1</v>
      </c>
      <c r="G103" s="23">
        <v>30</v>
      </c>
      <c r="H103" s="23">
        <v>4</v>
      </c>
      <c r="I103" s="23">
        <v>0</v>
      </c>
      <c r="J103" s="23">
        <v>0</v>
      </c>
      <c r="K103" s="20">
        <f t="shared" si="13"/>
        <v>50</v>
      </c>
      <c r="L103" s="11">
        <f t="shared" si="14"/>
        <v>211</v>
      </c>
      <c r="M103" s="2" cm="1">
        <f t="array" ref="M103">_xlfn.IFS(A103="5lvl2",IF(K103&gt;=35,0,35-K103), A103="5lvl1",IF(L103&gt;=35,0,35-L103))</f>
        <v>0</v>
      </c>
    </row>
    <row r="104" spans="1:13" x14ac:dyDescent="0.3">
      <c r="A104" s="5" t="str">
        <f>IF(ISERROR(VLOOKUP(C104,'Caza lvl 1'!A:A,1,0)),"5lvl2","5lvl1")</f>
        <v>5lvl2</v>
      </c>
      <c r="B104" s="19" t="str">
        <f t="shared" si="12"/>
        <v>Cumplio</v>
      </c>
      <c r="C104" s="22">
        <v>1027989176</v>
      </c>
      <c r="D104" s="22" t="s">
        <v>113</v>
      </c>
      <c r="E104" s="24">
        <f t="shared" si="11"/>
        <v>41</v>
      </c>
      <c r="F104" s="23">
        <v>0</v>
      </c>
      <c r="G104" s="23">
        <v>38</v>
      </c>
      <c r="H104" s="23">
        <v>3</v>
      </c>
      <c r="I104" s="23">
        <v>0</v>
      </c>
      <c r="J104" s="23">
        <v>0</v>
      </c>
      <c r="K104" s="20">
        <f t="shared" si="13"/>
        <v>53</v>
      </c>
      <c r="L104" s="11">
        <f t="shared" si="14"/>
        <v>235</v>
      </c>
      <c r="M104" s="2" cm="1">
        <f t="array" ref="M104">_xlfn.IFS(A104="5lvl2",IF(K104&gt;=35,0,35-K104), A104="5lvl1",IF(L104&gt;=35,0,35-L104))</f>
        <v>0</v>
      </c>
    </row>
    <row r="105" spans="1:13" x14ac:dyDescent="0.3">
      <c r="A105" s="5" t="str">
        <f>IF(ISERROR(VLOOKUP(C105,'Caza lvl 1'!A:A,1,0)),"5lvl2","5lvl1")</f>
        <v>5lvl2</v>
      </c>
      <c r="B105" s="19" t="str">
        <f t="shared" si="12"/>
        <v>No cumplio</v>
      </c>
      <c r="C105" s="22">
        <v>566390589</v>
      </c>
      <c r="D105" s="22" t="s">
        <v>114</v>
      </c>
      <c r="E105" s="24">
        <f t="shared" si="11"/>
        <v>5</v>
      </c>
      <c r="F105" s="23">
        <v>0</v>
      </c>
      <c r="G105" s="23">
        <v>3</v>
      </c>
      <c r="H105" s="23">
        <v>2</v>
      </c>
      <c r="I105" s="23">
        <v>0</v>
      </c>
      <c r="J105" s="23">
        <v>0</v>
      </c>
      <c r="K105" s="20">
        <f t="shared" si="13"/>
        <v>13</v>
      </c>
      <c r="L105" s="11">
        <f t="shared" si="14"/>
        <v>45</v>
      </c>
      <c r="M105" s="2" cm="1">
        <f t="array" ref="M105">_xlfn.IFS(A105="5lvl2",IF(K105&gt;=35,0,35-K105), A105="5lvl1",IF(L105&gt;=35,0,35-L105))</f>
        <v>22</v>
      </c>
    </row>
    <row r="106" spans="1:13" x14ac:dyDescent="0.3">
      <c r="A106" s="5" t="str">
        <f>IF(ISERROR(VLOOKUP(C106,'Caza lvl 1'!A:A,1,0)),"5lvl2","5lvl1")</f>
        <v>5lvl2</v>
      </c>
      <c r="B106" s="19" t="str">
        <f t="shared" si="12"/>
        <v>Cumplio</v>
      </c>
      <c r="C106" s="22">
        <v>884346374</v>
      </c>
      <c r="D106" s="22" t="s">
        <v>115</v>
      </c>
      <c r="E106" s="24">
        <f t="shared" si="11"/>
        <v>42</v>
      </c>
      <c r="F106" s="23">
        <v>0</v>
      </c>
      <c r="G106" s="23">
        <v>35</v>
      </c>
      <c r="H106" s="23">
        <v>6</v>
      </c>
      <c r="I106" s="23">
        <v>1</v>
      </c>
      <c r="J106" s="23">
        <v>0</v>
      </c>
      <c r="K106" s="20">
        <f t="shared" si="13"/>
        <v>74</v>
      </c>
      <c r="L106" s="11">
        <f t="shared" si="14"/>
        <v>295</v>
      </c>
      <c r="M106" s="2" cm="1">
        <f t="array" ref="M106">_xlfn.IFS(A106="5lvl2",IF(K106&gt;=35,0,35-K106), A106="5lvl1",IF(L106&gt;=35,0,35-L106))</f>
        <v>0</v>
      </c>
    </row>
  </sheetData>
  <autoFilter ref="A3:M106" xr:uid="{00000000-0009-0000-0000-000002000000}">
    <sortState xmlns:xlrd2="http://schemas.microsoft.com/office/spreadsheetml/2017/richdata2" ref="A10:M97">
      <sortCondition ref="D3:D106"/>
    </sortState>
  </autoFilter>
  <conditionalFormatting sqref="B108:B1048576 B3:B106">
    <cfRule type="cellIs" dxfId="9" priority="10" operator="equal">
      <formula>"No cumplio"</formula>
    </cfRule>
    <cfRule type="cellIs" dxfId="8" priority="11" operator="equal">
      <formula>"Cumplio"</formula>
    </cfRule>
  </conditionalFormatting>
  <conditionalFormatting sqref="M3:M106 M113:M1048576 M109:M111 M1">
    <cfRule type="cellIs" dxfId="7" priority="4" operator="between">
      <formula>1</formula>
      <formula>999</formula>
    </cfRule>
  </conditionalFormatting>
  <conditionalFormatting sqref="M4:M106">
    <cfRule type="cellIs" dxfId="6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ignoredErrors>
    <ignoredError sqref="N7 N8:N106 N5 N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C36" sqref="C36"/>
    </sheetView>
  </sheetViews>
  <sheetFormatPr baseColWidth="10" defaultRowHeight="15.6" x14ac:dyDescent="0.3"/>
  <cols>
    <col min="1" max="1" width="10.8984375" bestFit="1" customWidth="1"/>
    <col min="2" max="2" width="12.5" bestFit="1" customWidth="1"/>
  </cols>
  <sheetData>
    <row r="1" spans="1:2" x14ac:dyDescent="0.3">
      <c r="A1" t="s">
        <v>121</v>
      </c>
      <c r="B1" t="s">
        <v>122</v>
      </c>
    </row>
    <row r="2" spans="1:2" x14ac:dyDescent="0.3">
      <c r="A2">
        <v>1367372226</v>
      </c>
      <c r="B2" t="s">
        <v>123</v>
      </c>
    </row>
    <row r="3" spans="1:2" x14ac:dyDescent="0.3">
      <c r="A3">
        <v>1940642101</v>
      </c>
      <c r="B3" t="s">
        <v>124</v>
      </c>
    </row>
    <row r="4" spans="1:2" x14ac:dyDescent="0.3">
      <c r="A4">
        <v>2057192192</v>
      </c>
      <c r="B4" t="s">
        <v>71</v>
      </c>
    </row>
    <row r="5" spans="1:2" x14ac:dyDescent="0.3">
      <c r="A5">
        <v>2024927090</v>
      </c>
      <c r="B5" t="s">
        <v>23</v>
      </c>
    </row>
    <row r="6" spans="1:2" x14ac:dyDescent="0.3">
      <c r="A6">
        <v>2060348531</v>
      </c>
      <c r="B6" t="s">
        <v>46</v>
      </c>
    </row>
    <row r="7" spans="1:2" x14ac:dyDescent="0.3">
      <c r="A7">
        <v>1338792213</v>
      </c>
      <c r="B7" t="s">
        <v>125</v>
      </c>
    </row>
    <row r="8" spans="1:2" x14ac:dyDescent="0.3">
      <c r="A8">
        <v>677690297</v>
      </c>
      <c r="B8" t="s">
        <v>126</v>
      </c>
    </row>
    <row r="9" spans="1:2" x14ac:dyDescent="0.3">
      <c r="A9">
        <v>600359996</v>
      </c>
      <c r="B9" t="s">
        <v>127</v>
      </c>
    </row>
    <row r="10" spans="1:2" x14ac:dyDescent="0.3">
      <c r="A10">
        <v>2115871936</v>
      </c>
      <c r="B10" t="s">
        <v>22</v>
      </c>
    </row>
    <row r="11" spans="1:2" x14ac:dyDescent="0.3">
      <c r="A11">
        <v>1390607562</v>
      </c>
      <c r="B11" t="s">
        <v>128</v>
      </c>
    </row>
    <row r="12" spans="1:2" x14ac:dyDescent="0.3">
      <c r="A12">
        <v>1931591455</v>
      </c>
      <c r="B12" t="s">
        <v>110</v>
      </c>
    </row>
    <row r="13" spans="1:2" x14ac:dyDescent="0.3">
      <c r="A13">
        <v>1211883975</v>
      </c>
      <c r="B13" t="s">
        <v>129</v>
      </c>
    </row>
    <row r="14" spans="1:2" x14ac:dyDescent="0.3">
      <c r="A14">
        <v>1835847308</v>
      </c>
      <c r="B14" t="s">
        <v>130</v>
      </c>
    </row>
    <row r="15" spans="1:2" x14ac:dyDescent="0.3">
      <c r="A15">
        <v>1483867967</v>
      </c>
      <c r="B15" t="s">
        <v>24</v>
      </c>
    </row>
    <row r="16" spans="1:2" x14ac:dyDescent="0.3">
      <c r="A16">
        <v>1264043363</v>
      </c>
      <c r="B16" t="s">
        <v>105</v>
      </c>
    </row>
    <row r="17" spans="1:2" x14ac:dyDescent="0.3">
      <c r="A17">
        <v>1067470462</v>
      </c>
      <c r="B17" t="s">
        <v>74</v>
      </c>
    </row>
  </sheetData>
  <pageMargins left="0.7" right="0.7" top="0.75" bottom="0.75" header="0.3" footer="0.3"/>
  <ignoredErrors>
    <ignoredError sqref="A18:B107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6"/>
  <sheetViews>
    <sheetView topLeftCell="A86" workbookViewId="0">
      <selection activeCell="I102" sqref="I102"/>
    </sheetView>
  </sheetViews>
  <sheetFormatPr baseColWidth="10" defaultRowHeight="15.6" x14ac:dyDescent="0.3"/>
  <cols>
    <col min="1" max="1" width="3.8984375" bestFit="1" customWidth="1"/>
    <col min="2" max="2" width="10.8984375" bestFit="1" customWidth="1"/>
    <col min="3" max="3" width="13.8984375" bestFit="1" customWidth="1"/>
    <col min="4" max="7" width="10.69921875" bestFit="1" customWidth="1"/>
    <col min="8" max="8" width="9.3984375" bestFit="1" customWidth="1"/>
    <col min="9" max="9" width="5.19921875" customWidth="1"/>
    <col min="10" max="10" width="3.796875" customWidth="1"/>
    <col min="11" max="11" width="14.8984375" bestFit="1" customWidth="1"/>
  </cols>
  <sheetData>
    <row r="1" spans="1:11" x14ac:dyDescent="0.3">
      <c r="A1" s="12" t="s">
        <v>116</v>
      </c>
      <c r="B1" s="12" t="s">
        <v>2</v>
      </c>
      <c r="C1" s="12" t="s">
        <v>3</v>
      </c>
      <c r="D1" s="13" t="s">
        <v>164</v>
      </c>
      <c r="E1" s="12" t="s">
        <v>163</v>
      </c>
      <c r="F1" s="12" t="s">
        <v>162</v>
      </c>
      <c r="G1" s="13" t="s">
        <v>161</v>
      </c>
      <c r="H1" s="12" t="s">
        <v>142</v>
      </c>
      <c r="I1" s="12" t="s">
        <v>117</v>
      </c>
      <c r="K1" s="7" t="s">
        <v>143</v>
      </c>
    </row>
    <row r="2" spans="1:11" x14ac:dyDescent="0.3">
      <c r="A2">
        <v>1</v>
      </c>
      <c r="B2">
        <v>884346374</v>
      </c>
      <c r="C2" t="s">
        <v>115</v>
      </c>
      <c r="D2">
        <f>IFERROR(VLOOKUP(B2,Caza!C:K,9,0), 0)</f>
        <v>74</v>
      </c>
      <c r="I2" s="14">
        <f t="shared" ref="I2:I33" si="0">SUM(D2:H2)</f>
        <v>74</v>
      </c>
      <c r="K2" s="18" t="s">
        <v>144</v>
      </c>
    </row>
    <row r="3" spans="1:11" x14ac:dyDescent="0.3">
      <c r="A3">
        <v>2</v>
      </c>
      <c r="B3">
        <v>640955210</v>
      </c>
      <c r="C3" t="s">
        <v>94</v>
      </c>
      <c r="D3">
        <f>IFERROR(VLOOKUP(B3,Caza!C:K,9,0), 0)</f>
        <v>39</v>
      </c>
      <c r="I3" s="14">
        <f t="shared" si="0"/>
        <v>39</v>
      </c>
    </row>
    <row r="4" spans="1:11" x14ac:dyDescent="0.3">
      <c r="A4">
        <v>3</v>
      </c>
      <c r="B4">
        <v>1023770253</v>
      </c>
      <c r="C4" t="s">
        <v>53</v>
      </c>
      <c r="D4">
        <f>IFERROR(VLOOKUP(B4,Caza!C:K,9,0), 0)</f>
        <v>82</v>
      </c>
      <c r="I4" s="14">
        <f t="shared" si="0"/>
        <v>82</v>
      </c>
    </row>
    <row r="5" spans="1:11" x14ac:dyDescent="0.3">
      <c r="A5">
        <v>4</v>
      </c>
      <c r="B5">
        <v>559847999</v>
      </c>
      <c r="C5" t="s">
        <v>86</v>
      </c>
      <c r="D5">
        <f>IFERROR(VLOOKUP(B5,Caza!C:K,9,0), 0)</f>
        <v>39</v>
      </c>
      <c r="I5" s="14">
        <f t="shared" si="0"/>
        <v>39</v>
      </c>
    </row>
    <row r="6" spans="1:11" x14ac:dyDescent="0.3">
      <c r="A6">
        <v>5</v>
      </c>
      <c r="B6">
        <v>500920417</v>
      </c>
      <c r="C6" t="s">
        <v>67</v>
      </c>
      <c r="D6">
        <f>IFERROR(VLOOKUP(B6,Caza!C:K,9,0), 0)</f>
        <v>65</v>
      </c>
      <c r="I6" s="14">
        <f t="shared" si="0"/>
        <v>65</v>
      </c>
    </row>
    <row r="7" spans="1:11" x14ac:dyDescent="0.3">
      <c r="A7">
        <v>6</v>
      </c>
      <c r="B7">
        <v>1346964807</v>
      </c>
      <c r="C7" t="s">
        <v>43</v>
      </c>
      <c r="D7">
        <f>IFERROR(VLOOKUP(B7,Caza!C:K,9,0), 0)</f>
        <v>42</v>
      </c>
      <c r="I7" s="14">
        <f t="shared" si="0"/>
        <v>42</v>
      </c>
    </row>
    <row r="8" spans="1:11" x14ac:dyDescent="0.3">
      <c r="A8">
        <v>7</v>
      </c>
      <c r="B8">
        <v>471968668</v>
      </c>
      <c r="C8" t="s">
        <v>36</v>
      </c>
      <c r="D8">
        <f>IFERROR(VLOOKUP(B8,Caza!C:K,9,0), 0)</f>
        <v>54</v>
      </c>
      <c r="I8" s="14">
        <f t="shared" si="0"/>
        <v>54</v>
      </c>
    </row>
    <row r="9" spans="1:11" x14ac:dyDescent="0.3">
      <c r="A9">
        <v>8</v>
      </c>
      <c r="B9">
        <v>710619616</v>
      </c>
      <c r="C9" t="s">
        <v>96</v>
      </c>
      <c r="D9">
        <f>IFERROR(VLOOKUP(B9,Caza!C:K,9,0), 0)</f>
        <v>9</v>
      </c>
      <c r="I9" s="14">
        <f t="shared" si="0"/>
        <v>9</v>
      </c>
    </row>
    <row r="10" spans="1:11" x14ac:dyDescent="0.3">
      <c r="A10">
        <v>9</v>
      </c>
      <c r="B10">
        <v>689257712</v>
      </c>
      <c r="C10" t="s">
        <v>52</v>
      </c>
      <c r="D10">
        <f>IFERROR(VLOOKUP(B10,Caza!C:K,9,0), 0)</f>
        <v>91</v>
      </c>
      <c r="I10" s="14">
        <f t="shared" si="0"/>
        <v>91</v>
      </c>
    </row>
    <row r="11" spans="1:11" x14ac:dyDescent="0.3">
      <c r="A11">
        <v>10</v>
      </c>
      <c r="B11">
        <v>516441517</v>
      </c>
      <c r="C11" t="s">
        <v>47</v>
      </c>
      <c r="D11">
        <f>IFERROR(VLOOKUP(B11,Caza!C:K,9,0), 0)</f>
        <v>59</v>
      </c>
      <c r="I11" s="14">
        <f t="shared" si="0"/>
        <v>59</v>
      </c>
    </row>
    <row r="12" spans="1:11" x14ac:dyDescent="0.3">
      <c r="A12">
        <v>11</v>
      </c>
      <c r="B12">
        <v>658843231</v>
      </c>
      <c r="C12" t="s">
        <v>55</v>
      </c>
      <c r="D12">
        <f>IFERROR(VLOOKUP(B12,Caza!C:K,9,0), 0)</f>
        <v>77</v>
      </c>
      <c r="I12" s="14">
        <f t="shared" si="0"/>
        <v>77</v>
      </c>
    </row>
    <row r="13" spans="1:11" x14ac:dyDescent="0.3">
      <c r="A13">
        <v>12</v>
      </c>
      <c r="B13">
        <v>424972261</v>
      </c>
      <c r="C13" t="s">
        <v>95</v>
      </c>
      <c r="D13">
        <f>IFERROR(VLOOKUP(B13,Caza!C:K,9,0), 0)</f>
        <v>60</v>
      </c>
      <c r="I13" s="14">
        <f t="shared" si="0"/>
        <v>60</v>
      </c>
    </row>
    <row r="14" spans="1:11" x14ac:dyDescent="0.3">
      <c r="A14">
        <v>13</v>
      </c>
      <c r="B14">
        <v>1092680272</v>
      </c>
      <c r="C14" t="s">
        <v>50</v>
      </c>
      <c r="D14">
        <f>IFERROR(VLOOKUP(B14,Caza!C:K,9,0), 0)</f>
        <v>66</v>
      </c>
      <c r="I14" s="14">
        <f t="shared" si="0"/>
        <v>66</v>
      </c>
    </row>
    <row r="15" spans="1:11" x14ac:dyDescent="0.3">
      <c r="A15">
        <v>14</v>
      </c>
      <c r="B15">
        <v>1040607318</v>
      </c>
      <c r="C15" t="s">
        <v>87</v>
      </c>
      <c r="D15">
        <f>IFERROR(VLOOKUP(B15,Caza!C:K,9,0), 0)</f>
        <v>20</v>
      </c>
      <c r="I15" s="14">
        <f t="shared" si="0"/>
        <v>20</v>
      </c>
    </row>
    <row r="16" spans="1:11" x14ac:dyDescent="0.3">
      <c r="A16">
        <v>15</v>
      </c>
      <c r="B16">
        <v>1529804845</v>
      </c>
      <c r="C16" t="s">
        <v>44</v>
      </c>
      <c r="D16">
        <f>IFERROR(VLOOKUP(B16,Caza!C:K,9,0), 0)</f>
        <v>37</v>
      </c>
      <c r="I16" s="14">
        <f t="shared" si="0"/>
        <v>37</v>
      </c>
    </row>
    <row r="17" spans="1:9" x14ac:dyDescent="0.3">
      <c r="A17">
        <v>16</v>
      </c>
      <c r="B17">
        <v>376342700</v>
      </c>
      <c r="C17" t="s">
        <v>68</v>
      </c>
      <c r="D17">
        <f>IFERROR(VLOOKUP(B17,Caza!C:K,9,0), 0)</f>
        <v>51</v>
      </c>
      <c r="I17" s="14">
        <f t="shared" si="0"/>
        <v>51</v>
      </c>
    </row>
    <row r="18" spans="1:9" x14ac:dyDescent="0.3">
      <c r="A18">
        <v>17</v>
      </c>
      <c r="B18">
        <v>334846462</v>
      </c>
      <c r="C18" t="s">
        <v>49</v>
      </c>
      <c r="D18">
        <f>IFERROR(VLOOKUP(B18,Caza!C:K,9,0), 0)</f>
        <v>42</v>
      </c>
      <c r="I18" s="14">
        <f t="shared" si="0"/>
        <v>42</v>
      </c>
    </row>
    <row r="19" spans="1:9" x14ac:dyDescent="0.3">
      <c r="A19">
        <v>18</v>
      </c>
      <c r="B19">
        <v>852051372</v>
      </c>
      <c r="C19" t="s">
        <v>60</v>
      </c>
      <c r="D19">
        <f>IFERROR(VLOOKUP(B19,Caza!C:K,9,0), 0)</f>
        <v>36</v>
      </c>
      <c r="I19" s="14">
        <f t="shared" si="0"/>
        <v>36</v>
      </c>
    </row>
    <row r="20" spans="1:9" x14ac:dyDescent="0.3">
      <c r="A20">
        <v>19</v>
      </c>
      <c r="B20">
        <v>1112847542</v>
      </c>
      <c r="C20" t="s">
        <v>58</v>
      </c>
      <c r="D20">
        <f>IFERROR(VLOOKUP(B20,Caza!C:K,9,0), 0)</f>
        <v>50</v>
      </c>
      <c r="I20" s="14">
        <f t="shared" si="0"/>
        <v>50</v>
      </c>
    </row>
    <row r="21" spans="1:9" x14ac:dyDescent="0.3">
      <c r="A21">
        <v>20</v>
      </c>
      <c r="B21">
        <v>395091349</v>
      </c>
      <c r="C21" t="s">
        <v>92</v>
      </c>
      <c r="D21">
        <f>IFERROR(VLOOKUP(B21,Caza!C:K,9,0), 0)</f>
        <v>76</v>
      </c>
      <c r="I21" s="14">
        <f t="shared" si="0"/>
        <v>76</v>
      </c>
    </row>
    <row r="22" spans="1:9" x14ac:dyDescent="0.3">
      <c r="A22">
        <v>21</v>
      </c>
      <c r="B22">
        <v>723725687</v>
      </c>
      <c r="C22" t="s">
        <v>40</v>
      </c>
      <c r="D22">
        <f>IFERROR(VLOOKUP(B22,Caza!C:K,9,0), 0)</f>
        <v>30</v>
      </c>
      <c r="I22" s="14">
        <f t="shared" si="0"/>
        <v>30</v>
      </c>
    </row>
    <row r="23" spans="1:9" x14ac:dyDescent="0.3">
      <c r="A23">
        <v>22</v>
      </c>
      <c r="B23">
        <v>663429510</v>
      </c>
      <c r="C23" t="s">
        <v>59</v>
      </c>
      <c r="D23">
        <f>IFERROR(VLOOKUP(B23,Caza!C:K,9,0), 0)</f>
        <v>85</v>
      </c>
      <c r="I23" s="14">
        <f t="shared" si="0"/>
        <v>85</v>
      </c>
    </row>
    <row r="24" spans="1:9" x14ac:dyDescent="0.3">
      <c r="A24">
        <v>23</v>
      </c>
      <c r="B24">
        <v>605950874</v>
      </c>
      <c r="C24" t="s">
        <v>88</v>
      </c>
      <c r="D24">
        <f>IFERROR(VLOOKUP(B24,Caza!C:K,9,0), 0)</f>
        <v>39</v>
      </c>
      <c r="I24" s="14">
        <f t="shared" si="0"/>
        <v>39</v>
      </c>
    </row>
    <row r="25" spans="1:9" x14ac:dyDescent="0.3">
      <c r="A25">
        <v>24</v>
      </c>
      <c r="B25">
        <v>701806212</v>
      </c>
      <c r="C25" t="s">
        <v>104</v>
      </c>
      <c r="D25">
        <f>IFERROR(VLOOKUP(B25,Caza!C:K,9,0), 0)</f>
        <v>84</v>
      </c>
      <c r="I25" s="14">
        <f t="shared" si="0"/>
        <v>84</v>
      </c>
    </row>
    <row r="26" spans="1:9" x14ac:dyDescent="0.3">
      <c r="A26">
        <v>25</v>
      </c>
      <c r="B26">
        <v>1041184896</v>
      </c>
      <c r="C26" t="s">
        <v>54</v>
      </c>
      <c r="D26">
        <f>IFERROR(VLOOKUP(B26,Caza!C:K,9,0), 0)</f>
        <v>26</v>
      </c>
      <c r="I26" s="14">
        <f t="shared" si="0"/>
        <v>26</v>
      </c>
    </row>
    <row r="27" spans="1:9" x14ac:dyDescent="0.3">
      <c r="A27">
        <v>26</v>
      </c>
      <c r="B27">
        <v>625607335</v>
      </c>
      <c r="C27" t="s">
        <v>25</v>
      </c>
      <c r="D27">
        <f>IFERROR(VLOOKUP(B27,Caza!C:K,9,0), 0)</f>
        <v>43</v>
      </c>
      <c r="I27" s="14">
        <f t="shared" si="0"/>
        <v>43</v>
      </c>
    </row>
    <row r="28" spans="1:9" x14ac:dyDescent="0.3">
      <c r="A28">
        <v>27</v>
      </c>
      <c r="B28">
        <v>611721390</v>
      </c>
      <c r="C28" t="s">
        <v>34</v>
      </c>
      <c r="D28">
        <f>IFERROR(VLOOKUP(B28,Caza!C:K,9,0), 0)</f>
        <v>37</v>
      </c>
      <c r="I28" s="14">
        <f t="shared" si="0"/>
        <v>37</v>
      </c>
    </row>
    <row r="29" spans="1:9" x14ac:dyDescent="0.3">
      <c r="A29">
        <v>28</v>
      </c>
      <c r="B29">
        <v>527890484</v>
      </c>
      <c r="C29" t="s">
        <v>29</v>
      </c>
      <c r="D29">
        <f>IFERROR(VLOOKUP(B29,Caza!C:K,9,0), 0)</f>
        <v>89</v>
      </c>
      <c r="I29" s="14">
        <f t="shared" si="0"/>
        <v>89</v>
      </c>
    </row>
    <row r="30" spans="1:9" x14ac:dyDescent="0.3">
      <c r="A30">
        <v>29</v>
      </c>
      <c r="B30">
        <v>804415402</v>
      </c>
      <c r="C30" t="s">
        <v>77</v>
      </c>
      <c r="D30">
        <f>IFERROR(VLOOKUP(B30,Caza!C:K,9,0), 0)</f>
        <v>47</v>
      </c>
      <c r="I30" s="14">
        <f t="shared" si="0"/>
        <v>47</v>
      </c>
    </row>
    <row r="31" spans="1:9" x14ac:dyDescent="0.3">
      <c r="A31">
        <v>30</v>
      </c>
      <c r="B31">
        <v>677616563</v>
      </c>
      <c r="C31" t="s">
        <v>93</v>
      </c>
      <c r="D31">
        <f>IFERROR(VLOOKUP(B31,Caza!C:K,9,0), 0)</f>
        <v>84</v>
      </c>
      <c r="I31" s="14">
        <f t="shared" si="0"/>
        <v>84</v>
      </c>
    </row>
    <row r="32" spans="1:9" x14ac:dyDescent="0.3">
      <c r="A32">
        <v>31</v>
      </c>
      <c r="B32">
        <v>1276495104</v>
      </c>
      <c r="C32" t="s">
        <v>81</v>
      </c>
      <c r="D32">
        <f>IFERROR(VLOOKUP(B32,Caza!C:K,9,0), 0)</f>
        <v>52</v>
      </c>
      <c r="I32" s="14">
        <f t="shared" si="0"/>
        <v>52</v>
      </c>
    </row>
    <row r="33" spans="1:9" x14ac:dyDescent="0.3">
      <c r="A33">
        <v>32</v>
      </c>
      <c r="B33">
        <v>1041187189</v>
      </c>
      <c r="C33" t="s">
        <v>83</v>
      </c>
      <c r="D33">
        <f>IFERROR(VLOOKUP(B33,Caza!C:K,9,0), 0)</f>
        <v>40</v>
      </c>
      <c r="I33" s="14">
        <f t="shared" si="0"/>
        <v>40</v>
      </c>
    </row>
    <row r="34" spans="1:9" x14ac:dyDescent="0.3">
      <c r="A34">
        <v>33</v>
      </c>
      <c r="B34">
        <v>881905775</v>
      </c>
      <c r="C34" t="s">
        <v>35</v>
      </c>
      <c r="D34">
        <f>IFERROR(VLOOKUP(B34,Caza!C:K,9,0), 0)</f>
        <v>49</v>
      </c>
      <c r="I34" s="14">
        <f t="shared" ref="I34:I65" si="1">SUM(D34:H34)</f>
        <v>49</v>
      </c>
    </row>
    <row r="35" spans="1:9" x14ac:dyDescent="0.3">
      <c r="A35">
        <v>34</v>
      </c>
      <c r="B35">
        <v>940947273</v>
      </c>
      <c r="C35" t="s">
        <v>85</v>
      </c>
      <c r="D35">
        <f>IFERROR(VLOOKUP(B35,Caza!C:K,9,0), 0)</f>
        <v>38</v>
      </c>
      <c r="I35" s="14">
        <f t="shared" si="1"/>
        <v>38</v>
      </c>
    </row>
    <row r="36" spans="1:9" x14ac:dyDescent="0.3">
      <c r="A36">
        <v>35</v>
      </c>
      <c r="B36">
        <v>346561690</v>
      </c>
      <c r="C36" t="s">
        <v>16</v>
      </c>
      <c r="D36">
        <f>IFERROR(VLOOKUP(B36,Caza!C:K,9,0), 0)</f>
        <v>58</v>
      </c>
      <c r="I36" s="14">
        <f t="shared" si="1"/>
        <v>58</v>
      </c>
    </row>
    <row r="37" spans="1:9" x14ac:dyDescent="0.3">
      <c r="A37">
        <v>36</v>
      </c>
      <c r="B37">
        <v>1268142112</v>
      </c>
      <c r="C37" t="s">
        <v>62</v>
      </c>
      <c r="D37">
        <f>IFERROR(VLOOKUP(B37,Caza!C:K,9,0), 0)</f>
        <v>38</v>
      </c>
      <c r="I37" s="14">
        <f t="shared" si="1"/>
        <v>38</v>
      </c>
    </row>
    <row r="38" spans="1:9" x14ac:dyDescent="0.3">
      <c r="A38">
        <v>37</v>
      </c>
      <c r="B38">
        <v>1036786251</v>
      </c>
      <c r="C38" t="s">
        <v>30</v>
      </c>
      <c r="D38">
        <f>IFERROR(VLOOKUP(B38,Caza!C:K,9,0), 0)</f>
        <v>53</v>
      </c>
      <c r="I38" s="14">
        <f t="shared" si="1"/>
        <v>53</v>
      </c>
    </row>
    <row r="39" spans="1:9" x14ac:dyDescent="0.3">
      <c r="A39">
        <v>38</v>
      </c>
      <c r="B39">
        <v>368989323</v>
      </c>
      <c r="C39" t="s">
        <v>73</v>
      </c>
      <c r="D39">
        <f>IFERROR(VLOOKUP(B39,Caza!C:K,9,0), 0)</f>
        <v>36</v>
      </c>
      <c r="I39" s="14">
        <f t="shared" si="1"/>
        <v>36</v>
      </c>
    </row>
    <row r="40" spans="1:9" x14ac:dyDescent="0.3">
      <c r="A40">
        <v>39</v>
      </c>
      <c r="B40">
        <v>989087967</v>
      </c>
      <c r="C40" t="s">
        <v>98</v>
      </c>
      <c r="D40">
        <f>IFERROR(VLOOKUP(B40,Caza!C:K,9,0), 0)</f>
        <v>12</v>
      </c>
      <c r="I40" s="14">
        <f t="shared" si="1"/>
        <v>12</v>
      </c>
    </row>
    <row r="41" spans="1:9" x14ac:dyDescent="0.3">
      <c r="A41">
        <v>40</v>
      </c>
      <c r="B41">
        <v>365438142</v>
      </c>
      <c r="C41" t="s">
        <v>17</v>
      </c>
      <c r="D41">
        <f>IFERROR(VLOOKUP(B41,Caza!C:K,9,0), 0)</f>
        <v>42</v>
      </c>
      <c r="I41" s="14">
        <f t="shared" si="1"/>
        <v>42</v>
      </c>
    </row>
    <row r="42" spans="1:9" x14ac:dyDescent="0.3">
      <c r="A42">
        <v>41</v>
      </c>
      <c r="B42">
        <v>1467795273</v>
      </c>
      <c r="C42" t="s">
        <v>101</v>
      </c>
      <c r="D42">
        <f>IFERROR(VLOOKUP(B42,Caza!C:K,9,0), 0)</f>
        <v>35</v>
      </c>
      <c r="I42" s="14">
        <f t="shared" si="1"/>
        <v>35</v>
      </c>
    </row>
    <row r="43" spans="1:9" x14ac:dyDescent="0.3">
      <c r="A43">
        <v>42</v>
      </c>
      <c r="B43">
        <v>821134729</v>
      </c>
      <c r="C43" t="s">
        <v>102</v>
      </c>
      <c r="D43">
        <f>IFERROR(VLOOKUP(B43,Caza!C:K,9,0), 0)</f>
        <v>39</v>
      </c>
      <c r="I43" s="14">
        <f t="shared" si="1"/>
        <v>39</v>
      </c>
    </row>
    <row r="44" spans="1:9" x14ac:dyDescent="0.3">
      <c r="A44">
        <v>43</v>
      </c>
      <c r="B44">
        <v>326455645</v>
      </c>
      <c r="C44" t="s">
        <v>21</v>
      </c>
      <c r="D44">
        <f>IFERROR(VLOOKUP(B44,Caza!C:K,9,0), 0)</f>
        <v>38</v>
      </c>
      <c r="I44" s="14">
        <f t="shared" si="1"/>
        <v>38</v>
      </c>
    </row>
    <row r="45" spans="1:9" x14ac:dyDescent="0.3">
      <c r="A45">
        <v>44</v>
      </c>
      <c r="B45">
        <v>1040942817</v>
      </c>
      <c r="C45" t="s">
        <v>79</v>
      </c>
      <c r="D45">
        <f>IFERROR(VLOOKUP(B45,Caza!C:K,9,0), 0)</f>
        <v>40</v>
      </c>
      <c r="I45" s="14">
        <f t="shared" si="1"/>
        <v>40</v>
      </c>
    </row>
    <row r="46" spans="1:9" x14ac:dyDescent="0.3">
      <c r="A46">
        <v>45</v>
      </c>
      <c r="B46">
        <v>545632943</v>
      </c>
      <c r="C46" t="s">
        <v>70</v>
      </c>
      <c r="D46">
        <f>IFERROR(VLOOKUP(B46,Caza!C:K,9,0), 0)</f>
        <v>49</v>
      </c>
      <c r="I46" s="14">
        <f t="shared" si="1"/>
        <v>49</v>
      </c>
    </row>
    <row r="47" spans="1:9" x14ac:dyDescent="0.3">
      <c r="A47">
        <v>46</v>
      </c>
      <c r="B47">
        <v>997405085</v>
      </c>
      <c r="C47" t="s">
        <v>72</v>
      </c>
      <c r="D47">
        <f>IFERROR(VLOOKUP(B47,Caza!C:K,9,0), 0)</f>
        <v>35</v>
      </c>
      <c r="I47" s="14">
        <f t="shared" si="1"/>
        <v>35</v>
      </c>
    </row>
    <row r="48" spans="1:9" x14ac:dyDescent="0.3">
      <c r="A48">
        <v>47</v>
      </c>
      <c r="B48">
        <v>927459756</v>
      </c>
      <c r="C48" t="s">
        <v>100</v>
      </c>
      <c r="D48">
        <f>IFERROR(VLOOKUP(B48,Caza!C:K,9,0), 0)</f>
        <v>28</v>
      </c>
      <c r="I48" s="14">
        <f t="shared" si="1"/>
        <v>28</v>
      </c>
    </row>
    <row r="49" spans="1:9" x14ac:dyDescent="0.3">
      <c r="A49">
        <v>48</v>
      </c>
      <c r="B49">
        <v>357402771</v>
      </c>
      <c r="C49" t="s">
        <v>26</v>
      </c>
      <c r="D49">
        <f>IFERROR(VLOOKUP(B49,Caza!C:K,9,0), 0)</f>
        <v>35</v>
      </c>
      <c r="I49" s="14">
        <f t="shared" si="1"/>
        <v>35</v>
      </c>
    </row>
    <row r="50" spans="1:9" x14ac:dyDescent="0.3">
      <c r="A50">
        <v>49</v>
      </c>
      <c r="B50">
        <v>526268020</v>
      </c>
      <c r="C50" t="s">
        <v>78</v>
      </c>
      <c r="D50">
        <f>IFERROR(VLOOKUP(B50,Caza!C:K,9,0), 0)</f>
        <v>37</v>
      </c>
      <c r="I50" s="14">
        <f t="shared" si="1"/>
        <v>37</v>
      </c>
    </row>
    <row r="51" spans="1:9" x14ac:dyDescent="0.3">
      <c r="A51">
        <v>50</v>
      </c>
      <c r="B51">
        <v>829026210</v>
      </c>
      <c r="C51" t="s">
        <v>82</v>
      </c>
      <c r="D51">
        <f>IFERROR(VLOOKUP(B51,Caza!C:K,9,0), 0)</f>
        <v>31</v>
      </c>
      <c r="I51" s="14">
        <f t="shared" si="1"/>
        <v>31</v>
      </c>
    </row>
    <row r="52" spans="1:9" x14ac:dyDescent="0.3">
      <c r="A52">
        <v>51</v>
      </c>
      <c r="B52">
        <v>1041170254</v>
      </c>
      <c r="C52" t="s">
        <v>48</v>
      </c>
      <c r="D52">
        <f>IFERROR(VLOOKUP(B52,Caza!C:K,9,0), 0)</f>
        <v>40</v>
      </c>
      <c r="I52" s="14">
        <f t="shared" si="1"/>
        <v>40</v>
      </c>
    </row>
    <row r="53" spans="1:9" x14ac:dyDescent="0.3">
      <c r="A53">
        <v>52</v>
      </c>
      <c r="B53">
        <v>869080899</v>
      </c>
      <c r="C53" t="s">
        <v>65</v>
      </c>
      <c r="D53">
        <f>IFERROR(VLOOKUP(B53,Caza!C:K,9,0), 0)</f>
        <v>35</v>
      </c>
      <c r="I53" s="14">
        <f t="shared" si="1"/>
        <v>35</v>
      </c>
    </row>
    <row r="54" spans="1:9" x14ac:dyDescent="0.3">
      <c r="A54">
        <v>53</v>
      </c>
      <c r="B54">
        <v>651360013</v>
      </c>
      <c r="C54" t="s">
        <v>69</v>
      </c>
      <c r="D54">
        <f>IFERROR(VLOOKUP(B54,Caza!C:K,9,0), 0)</f>
        <v>45</v>
      </c>
      <c r="I54" s="14">
        <f t="shared" si="1"/>
        <v>45</v>
      </c>
    </row>
    <row r="55" spans="1:9" x14ac:dyDescent="0.3">
      <c r="A55">
        <v>54</v>
      </c>
      <c r="B55">
        <v>416845218</v>
      </c>
      <c r="C55" t="s">
        <v>14</v>
      </c>
      <c r="D55">
        <f>IFERROR(VLOOKUP(B55,Caza!C:K,9,0), 0)</f>
        <v>42</v>
      </c>
      <c r="I55" s="14">
        <f t="shared" si="1"/>
        <v>42</v>
      </c>
    </row>
    <row r="56" spans="1:9" x14ac:dyDescent="0.3">
      <c r="A56">
        <v>55</v>
      </c>
      <c r="B56">
        <v>1041405085</v>
      </c>
      <c r="C56" t="s">
        <v>27</v>
      </c>
      <c r="D56">
        <f>IFERROR(VLOOKUP(B56,Caza!C:K,9,0), 0)</f>
        <v>25</v>
      </c>
      <c r="I56" s="14">
        <f t="shared" si="1"/>
        <v>25</v>
      </c>
    </row>
    <row r="57" spans="1:9" x14ac:dyDescent="0.3">
      <c r="A57">
        <v>56</v>
      </c>
      <c r="B57">
        <v>1923743214</v>
      </c>
      <c r="C57" t="s">
        <v>89</v>
      </c>
      <c r="D57">
        <f>IFERROR(VLOOKUP(B57,Caza!C:K,9,0), 0)</f>
        <v>35</v>
      </c>
      <c r="I57" s="14">
        <f t="shared" si="1"/>
        <v>35</v>
      </c>
    </row>
    <row r="58" spans="1:9" x14ac:dyDescent="0.3">
      <c r="A58">
        <v>57</v>
      </c>
      <c r="B58">
        <v>919665444</v>
      </c>
      <c r="C58" t="s">
        <v>80</v>
      </c>
      <c r="D58">
        <f>IFERROR(VLOOKUP(B58,Caza!C:K,9,0), 0)</f>
        <v>26</v>
      </c>
      <c r="I58" s="14">
        <f t="shared" si="1"/>
        <v>26</v>
      </c>
    </row>
    <row r="59" spans="1:9" x14ac:dyDescent="0.3">
      <c r="A59">
        <v>58</v>
      </c>
      <c r="B59">
        <v>1919512898</v>
      </c>
      <c r="C59" t="s">
        <v>91</v>
      </c>
      <c r="D59">
        <f>IFERROR(VLOOKUP(B59,Caza!C:K,9,0), 0)</f>
        <v>35</v>
      </c>
      <c r="I59" s="14">
        <f t="shared" si="1"/>
        <v>35</v>
      </c>
    </row>
    <row r="60" spans="1:9" x14ac:dyDescent="0.3">
      <c r="A60">
        <v>59</v>
      </c>
      <c r="B60">
        <v>1294894373</v>
      </c>
      <c r="C60" t="s">
        <v>97</v>
      </c>
      <c r="D60">
        <f>IFERROR(VLOOKUP(B60,Caza!C:K,9,0), 0)</f>
        <v>0</v>
      </c>
      <c r="I60" s="14">
        <f t="shared" si="1"/>
        <v>0</v>
      </c>
    </row>
    <row r="61" spans="1:9" x14ac:dyDescent="0.3">
      <c r="A61">
        <v>60</v>
      </c>
      <c r="B61">
        <v>1806182451</v>
      </c>
      <c r="C61" t="s">
        <v>107</v>
      </c>
      <c r="D61">
        <f>IFERROR(VLOOKUP(B61,Caza!C:K,9,0), 0)</f>
        <v>35</v>
      </c>
      <c r="I61" s="14">
        <f t="shared" si="1"/>
        <v>35</v>
      </c>
    </row>
    <row r="62" spans="1:9" x14ac:dyDescent="0.3">
      <c r="A62">
        <v>61</v>
      </c>
      <c r="B62">
        <v>747071768</v>
      </c>
      <c r="C62" t="s">
        <v>32</v>
      </c>
      <c r="D62">
        <f>IFERROR(VLOOKUP(B62,Caza!C:K,9,0), 0)</f>
        <v>36</v>
      </c>
      <c r="I62" s="14">
        <f t="shared" si="1"/>
        <v>36</v>
      </c>
    </row>
    <row r="63" spans="1:9" x14ac:dyDescent="0.3">
      <c r="A63">
        <v>62</v>
      </c>
      <c r="B63">
        <v>1915163097</v>
      </c>
      <c r="C63" t="s">
        <v>61</v>
      </c>
      <c r="D63">
        <f>IFERROR(VLOOKUP(B63,Caza!C:K,9,0), 0)</f>
        <v>35</v>
      </c>
      <c r="I63" s="14">
        <f t="shared" si="1"/>
        <v>35</v>
      </c>
    </row>
    <row r="64" spans="1:9" x14ac:dyDescent="0.3">
      <c r="A64">
        <v>63</v>
      </c>
      <c r="B64">
        <v>973732352</v>
      </c>
      <c r="C64" t="s">
        <v>64</v>
      </c>
      <c r="D64">
        <f>IFERROR(VLOOKUP(B64,Caza!C:K,9,0), 0)</f>
        <v>13</v>
      </c>
      <c r="I64" s="14">
        <f t="shared" si="1"/>
        <v>13</v>
      </c>
    </row>
    <row r="65" spans="1:9" x14ac:dyDescent="0.3">
      <c r="A65">
        <v>64</v>
      </c>
      <c r="B65">
        <v>1913187635</v>
      </c>
      <c r="C65" t="s">
        <v>90</v>
      </c>
      <c r="D65">
        <f>IFERROR(VLOOKUP(B65,Caza!C:K,9,0), 0)</f>
        <v>35</v>
      </c>
      <c r="I65" s="14">
        <f t="shared" si="1"/>
        <v>35</v>
      </c>
    </row>
    <row r="66" spans="1:9" x14ac:dyDescent="0.3">
      <c r="A66">
        <v>65</v>
      </c>
      <c r="B66">
        <v>777343597</v>
      </c>
      <c r="C66" t="s">
        <v>103</v>
      </c>
      <c r="D66">
        <f>IFERROR(VLOOKUP(B66,Caza!C:K,9,0), 0)</f>
        <v>37</v>
      </c>
      <c r="I66" s="14">
        <f t="shared" ref="I66:I97" si="2">SUM(D66:H66)</f>
        <v>37</v>
      </c>
    </row>
    <row r="67" spans="1:9" x14ac:dyDescent="0.3">
      <c r="A67">
        <v>66</v>
      </c>
      <c r="B67">
        <v>1917368618</v>
      </c>
      <c r="C67" t="s">
        <v>106</v>
      </c>
      <c r="D67">
        <f>IFERROR(VLOOKUP(B67,Caza!C:K,9,0), 0)</f>
        <v>35</v>
      </c>
      <c r="I67" s="14">
        <f t="shared" si="2"/>
        <v>35</v>
      </c>
    </row>
    <row r="68" spans="1:9" x14ac:dyDescent="0.3">
      <c r="A68">
        <v>67</v>
      </c>
      <c r="B68">
        <v>916473485</v>
      </c>
      <c r="C68" t="s">
        <v>66</v>
      </c>
      <c r="D68">
        <f>IFERROR(VLOOKUP(B68,Caza!C:K,9,0), 0)</f>
        <v>35</v>
      </c>
      <c r="I68" s="14">
        <f t="shared" si="2"/>
        <v>35</v>
      </c>
    </row>
    <row r="69" spans="1:9" x14ac:dyDescent="0.3">
      <c r="A69">
        <v>68</v>
      </c>
      <c r="B69">
        <v>1727138266</v>
      </c>
      <c r="C69" t="s">
        <v>108</v>
      </c>
      <c r="D69">
        <f>IFERROR(VLOOKUP(B69,Caza!C:K,9,0), 0)</f>
        <v>44</v>
      </c>
      <c r="I69" s="14">
        <f t="shared" si="2"/>
        <v>44</v>
      </c>
    </row>
    <row r="70" spans="1:9" x14ac:dyDescent="0.3">
      <c r="A70">
        <v>69</v>
      </c>
      <c r="B70">
        <v>1040811175</v>
      </c>
      <c r="C70" t="s">
        <v>84</v>
      </c>
      <c r="D70">
        <f>IFERROR(VLOOKUP(B70,Caza!C:K,9,0), 0)</f>
        <v>15</v>
      </c>
      <c r="I70" s="14">
        <f t="shared" si="2"/>
        <v>15</v>
      </c>
    </row>
    <row r="71" spans="1:9" x14ac:dyDescent="0.3">
      <c r="A71">
        <v>70</v>
      </c>
      <c r="B71">
        <v>1769834648</v>
      </c>
      <c r="C71" t="s">
        <v>99</v>
      </c>
      <c r="D71">
        <f>IFERROR(VLOOKUP(B71,Caza!C:K,9,0), 0)</f>
        <v>1</v>
      </c>
      <c r="I71" s="14">
        <f t="shared" si="2"/>
        <v>1</v>
      </c>
    </row>
    <row r="72" spans="1:9" x14ac:dyDescent="0.3">
      <c r="A72">
        <v>71</v>
      </c>
      <c r="B72">
        <v>1698596813</v>
      </c>
      <c r="C72" t="s">
        <v>41</v>
      </c>
      <c r="D72">
        <f>IFERROR(VLOOKUP(B72,Caza!C:K,9,0), 0)</f>
        <v>24</v>
      </c>
      <c r="I72" s="14">
        <f t="shared" si="2"/>
        <v>24</v>
      </c>
    </row>
    <row r="73" spans="1:9" x14ac:dyDescent="0.3">
      <c r="A73">
        <v>72</v>
      </c>
      <c r="B73">
        <v>1264043363</v>
      </c>
      <c r="C73" t="s">
        <v>105</v>
      </c>
      <c r="D73">
        <f>IFERROR(VLOOKUP(B73,Caza!C:K,9,0), 0)</f>
        <v>35</v>
      </c>
      <c r="I73" s="14">
        <f t="shared" si="2"/>
        <v>35</v>
      </c>
    </row>
    <row r="74" spans="1:9" x14ac:dyDescent="0.3">
      <c r="A74">
        <v>73</v>
      </c>
      <c r="B74">
        <v>952505208</v>
      </c>
      <c r="C74" t="s">
        <v>76</v>
      </c>
      <c r="D74">
        <f>IFERROR(VLOOKUP(B74,Caza!C:K,9,0), 0)</f>
        <v>0</v>
      </c>
      <c r="I74" s="14">
        <f t="shared" si="2"/>
        <v>0</v>
      </c>
    </row>
    <row r="75" spans="1:9" x14ac:dyDescent="0.3">
      <c r="A75">
        <v>74</v>
      </c>
      <c r="B75">
        <v>412543735</v>
      </c>
      <c r="C75" t="s">
        <v>39</v>
      </c>
      <c r="D75">
        <f>IFERROR(VLOOKUP(B75,Caza!C:K,9,0), 0)</f>
        <v>40</v>
      </c>
      <c r="I75" s="14">
        <f t="shared" si="2"/>
        <v>40</v>
      </c>
    </row>
    <row r="76" spans="1:9" x14ac:dyDescent="0.3">
      <c r="A76">
        <v>75</v>
      </c>
      <c r="B76">
        <v>613063847</v>
      </c>
      <c r="C76" t="s">
        <v>57</v>
      </c>
      <c r="D76">
        <f>IFERROR(VLOOKUP(B76,Caza!C:K,9,0), 0)</f>
        <v>35</v>
      </c>
      <c r="I76" s="14">
        <f t="shared" si="2"/>
        <v>35</v>
      </c>
    </row>
    <row r="77" spans="1:9" x14ac:dyDescent="0.3">
      <c r="A77">
        <v>76</v>
      </c>
      <c r="B77">
        <v>817775064</v>
      </c>
      <c r="C77" t="s">
        <v>45</v>
      </c>
      <c r="D77">
        <f>IFERROR(VLOOKUP(B77,Caza!C:K,9,0), 0)</f>
        <v>23</v>
      </c>
      <c r="I77" s="14">
        <f t="shared" si="2"/>
        <v>23</v>
      </c>
    </row>
    <row r="78" spans="1:9" x14ac:dyDescent="0.3">
      <c r="A78">
        <v>77</v>
      </c>
      <c r="B78">
        <v>566390589</v>
      </c>
      <c r="C78" t="s">
        <v>114</v>
      </c>
      <c r="D78">
        <f>IFERROR(VLOOKUP(B78,Caza!C:K,9,0), 0)</f>
        <v>13</v>
      </c>
      <c r="I78" s="14">
        <f t="shared" si="2"/>
        <v>13</v>
      </c>
    </row>
    <row r="79" spans="1:9" x14ac:dyDescent="0.3">
      <c r="A79">
        <v>78</v>
      </c>
      <c r="B79">
        <v>829088153</v>
      </c>
      <c r="C79" t="s">
        <v>75</v>
      </c>
      <c r="D79">
        <f>IFERROR(VLOOKUP(B79,Caza!C:K,9,0), 0)</f>
        <v>24</v>
      </c>
      <c r="I79" s="14">
        <f t="shared" si="2"/>
        <v>24</v>
      </c>
    </row>
    <row r="80" spans="1:9" x14ac:dyDescent="0.3">
      <c r="A80">
        <v>79</v>
      </c>
      <c r="B80">
        <v>735092980</v>
      </c>
      <c r="C80" t="s">
        <v>42</v>
      </c>
      <c r="D80">
        <f>IFERROR(VLOOKUP(B80,Caza!C:K,9,0), 0)</f>
        <v>17</v>
      </c>
      <c r="I80" s="14">
        <f t="shared" si="2"/>
        <v>17</v>
      </c>
    </row>
    <row r="81" spans="1:9" x14ac:dyDescent="0.3">
      <c r="A81">
        <v>80</v>
      </c>
      <c r="B81">
        <v>866932727</v>
      </c>
      <c r="C81" t="s">
        <v>37</v>
      </c>
      <c r="D81">
        <f>IFERROR(VLOOKUP(B81,Caza!C:K,9,0), 0)</f>
        <v>0</v>
      </c>
      <c r="I81" s="14">
        <f t="shared" si="2"/>
        <v>0</v>
      </c>
    </row>
    <row r="82" spans="1:9" x14ac:dyDescent="0.3">
      <c r="A82">
        <v>81</v>
      </c>
      <c r="B82">
        <v>582104628</v>
      </c>
      <c r="C82" t="s">
        <v>51</v>
      </c>
      <c r="D82">
        <f>IFERROR(VLOOKUP(B82,Caza!C:K,9,0), 0)</f>
        <v>35</v>
      </c>
      <c r="I82" s="14">
        <f t="shared" si="2"/>
        <v>35</v>
      </c>
    </row>
    <row r="83" spans="1:9" x14ac:dyDescent="0.3">
      <c r="A83">
        <v>82</v>
      </c>
      <c r="B83">
        <v>874666931</v>
      </c>
      <c r="C83" t="s">
        <v>111</v>
      </c>
      <c r="D83">
        <f>IFERROR(VLOOKUP(B83,Caza!C:K,9,0), 0)</f>
        <v>0</v>
      </c>
      <c r="I83" s="14">
        <f t="shared" si="2"/>
        <v>0</v>
      </c>
    </row>
    <row r="84" spans="1:9" x14ac:dyDescent="0.3">
      <c r="A84">
        <v>83</v>
      </c>
      <c r="B84">
        <v>1067470462</v>
      </c>
      <c r="C84" t="s">
        <v>74</v>
      </c>
      <c r="D84">
        <f>IFERROR(VLOOKUP(B84,Caza!C:K,9,0), 0)</f>
        <v>0</v>
      </c>
      <c r="I84" s="14">
        <f t="shared" si="2"/>
        <v>0</v>
      </c>
    </row>
    <row r="85" spans="1:9" x14ac:dyDescent="0.3">
      <c r="A85">
        <v>84</v>
      </c>
      <c r="B85">
        <v>0</v>
      </c>
      <c r="C85" t="s">
        <v>20</v>
      </c>
      <c r="D85">
        <f>IFERROR(VLOOKUP(B85,Caza!C:K,9,0), 0)</f>
        <v>2</v>
      </c>
      <c r="I85" s="14">
        <f t="shared" si="2"/>
        <v>2</v>
      </c>
    </row>
    <row r="86" spans="1:9" x14ac:dyDescent="0.3">
      <c r="A86">
        <v>85</v>
      </c>
      <c r="B86">
        <v>648809825</v>
      </c>
      <c r="C86" t="s">
        <v>38</v>
      </c>
      <c r="D86">
        <f>IFERROR(VLOOKUP(B86,Caza!C:K,9,0), 0)</f>
        <v>47</v>
      </c>
      <c r="I86" s="14">
        <f t="shared" si="2"/>
        <v>47</v>
      </c>
    </row>
    <row r="87" spans="1:9" x14ac:dyDescent="0.3">
      <c r="A87">
        <v>86</v>
      </c>
      <c r="B87">
        <v>937413870</v>
      </c>
      <c r="C87" t="s">
        <v>112</v>
      </c>
      <c r="D87">
        <f>IFERROR(VLOOKUP(B87,Caza!C:K,9,0), 0)</f>
        <v>50</v>
      </c>
      <c r="I87" s="14">
        <f t="shared" si="2"/>
        <v>50</v>
      </c>
    </row>
    <row r="88" spans="1:9" x14ac:dyDescent="0.3">
      <c r="A88">
        <v>87</v>
      </c>
      <c r="B88">
        <v>2024927090</v>
      </c>
      <c r="C88" t="s">
        <v>23</v>
      </c>
      <c r="D88">
        <f>IFERROR(VLOOKUP(B88,Caza!C:K,9,0), 0)</f>
        <v>9</v>
      </c>
      <c r="I88" s="14">
        <f t="shared" si="2"/>
        <v>9</v>
      </c>
    </row>
    <row r="89" spans="1:9" x14ac:dyDescent="0.3">
      <c r="A89">
        <v>88</v>
      </c>
      <c r="B89">
        <v>1483867967</v>
      </c>
      <c r="C89" t="s">
        <v>24</v>
      </c>
      <c r="D89">
        <f>IFERROR(VLOOKUP(B89,Caza!C:K,9,0), 0)</f>
        <v>12</v>
      </c>
      <c r="I89" s="14">
        <f t="shared" si="2"/>
        <v>12</v>
      </c>
    </row>
    <row r="90" spans="1:9" x14ac:dyDescent="0.3">
      <c r="A90">
        <v>89</v>
      </c>
      <c r="B90">
        <v>1027989176</v>
      </c>
      <c r="C90" t="s">
        <v>113</v>
      </c>
      <c r="D90">
        <f>IFERROR(VLOOKUP(B90,Caza!C:K,9,0), 0)</f>
        <v>53</v>
      </c>
      <c r="I90" s="14">
        <f t="shared" si="2"/>
        <v>53</v>
      </c>
    </row>
    <row r="91" spans="1:9" x14ac:dyDescent="0.3">
      <c r="A91">
        <v>90</v>
      </c>
      <c r="B91">
        <v>1931591455</v>
      </c>
      <c r="C91" t="s">
        <v>110</v>
      </c>
      <c r="D91">
        <f>IFERROR(VLOOKUP(B91,Caza!C:K,9,0), 0)</f>
        <v>6</v>
      </c>
      <c r="I91" s="14">
        <f t="shared" si="2"/>
        <v>6</v>
      </c>
    </row>
    <row r="92" spans="1:9" x14ac:dyDescent="0.3">
      <c r="A92">
        <v>91</v>
      </c>
      <c r="B92">
        <v>2060348531</v>
      </c>
      <c r="C92" t="s">
        <v>46</v>
      </c>
      <c r="D92">
        <f>IFERROR(VLOOKUP(B92,Caza!C:K,9,0), 0)</f>
        <v>6</v>
      </c>
      <c r="I92" s="14">
        <f t="shared" si="2"/>
        <v>6</v>
      </c>
    </row>
    <row r="93" spans="1:9" x14ac:dyDescent="0.3">
      <c r="A93">
        <v>92</v>
      </c>
      <c r="B93">
        <v>2057192192</v>
      </c>
      <c r="C93" t="s">
        <v>71</v>
      </c>
      <c r="D93">
        <f>IFERROR(VLOOKUP(B93,Caza!C:K,9,0), 0)</f>
        <v>6</v>
      </c>
      <c r="I93" s="14">
        <f t="shared" si="2"/>
        <v>6</v>
      </c>
    </row>
    <row r="94" spans="1:9" x14ac:dyDescent="0.3">
      <c r="A94">
        <v>93</v>
      </c>
      <c r="B94">
        <v>2115871936</v>
      </c>
      <c r="C94" t="s">
        <v>22</v>
      </c>
      <c r="D94">
        <f>IFERROR(VLOOKUP(B94,Caza!C:K,9,0), 0)</f>
        <v>3</v>
      </c>
      <c r="I94" s="14">
        <f t="shared" si="2"/>
        <v>3</v>
      </c>
    </row>
    <row r="95" spans="1:9" x14ac:dyDescent="0.3">
      <c r="A95">
        <v>94</v>
      </c>
      <c r="B95">
        <v>1922616643</v>
      </c>
      <c r="C95" t="s">
        <v>31</v>
      </c>
      <c r="D95">
        <f>IFERROR(VLOOKUP(B95,Caza!C:K,9,0), 0)</f>
        <v>0</v>
      </c>
      <c r="I95" s="14">
        <f t="shared" si="2"/>
        <v>0</v>
      </c>
    </row>
    <row r="96" spans="1:9" x14ac:dyDescent="0.3">
      <c r="A96">
        <v>95</v>
      </c>
      <c r="B96">
        <v>648763948</v>
      </c>
      <c r="C96" t="s">
        <v>33</v>
      </c>
      <c r="D96">
        <f>IFERROR(VLOOKUP(B96,Caza!C:K,9,0), 0)</f>
        <v>5</v>
      </c>
      <c r="I96" s="14">
        <f t="shared" si="2"/>
        <v>5</v>
      </c>
    </row>
    <row r="97" spans="1:9" x14ac:dyDescent="0.3">
      <c r="A97">
        <v>96</v>
      </c>
      <c r="B97">
        <v>673621517</v>
      </c>
      <c r="C97" t="s">
        <v>19</v>
      </c>
      <c r="D97">
        <f>IFERROR(VLOOKUP(B97,Caza!C:K,9,0), 0)</f>
        <v>0</v>
      </c>
      <c r="I97" s="14">
        <f t="shared" si="2"/>
        <v>0</v>
      </c>
    </row>
    <row r="98" spans="1:9" x14ac:dyDescent="0.3">
      <c r="A98">
        <v>97</v>
      </c>
      <c r="B98">
        <v>653834656</v>
      </c>
      <c r="C98" t="s">
        <v>56</v>
      </c>
      <c r="D98">
        <f>IFERROR(VLOOKUP(B98,Caza!C:K,9,0), 0)</f>
        <v>12</v>
      </c>
      <c r="I98" s="14">
        <f t="shared" ref="I98:I101" si="3">SUM(D98:H98)</f>
        <v>12</v>
      </c>
    </row>
    <row r="99" spans="1:9" x14ac:dyDescent="0.3">
      <c r="A99">
        <v>98</v>
      </c>
      <c r="B99">
        <v>554156976</v>
      </c>
      <c r="C99" t="s">
        <v>28</v>
      </c>
      <c r="D99">
        <f>IFERROR(VLOOKUP(B99,Caza!C:K,9,0), 0)</f>
        <v>0</v>
      </c>
      <c r="I99" s="14">
        <f t="shared" si="3"/>
        <v>0</v>
      </c>
    </row>
    <row r="100" spans="1:9" x14ac:dyDescent="0.3">
      <c r="A100">
        <v>99</v>
      </c>
      <c r="B100">
        <v>1835847308</v>
      </c>
      <c r="C100" t="s">
        <v>63</v>
      </c>
      <c r="D100">
        <f>IFERROR(VLOOKUP(B100,Caza!C:K,9,0), 0)</f>
        <v>0</v>
      </c>
      <c r="I100" s="14">
        <f t="shared" si="3"/>
        <v>0</v>
      </c>
    </row>
    <row r="101" spans="1:9" x14ac:dyDescent="0.3">
      <c r="A101">
        <v>100</v>
      </c>
      <c r="B101">
        <v>1367372226</v>
      </c>
      <c r="C101" t="s">
        <v>109</v>
      </c>
      <c r="D101">
        <f>IFERROR(VLOOKUP(B101,Caza!C:K,9,0), 0)</f>
        <v>0</v>
      </c>
      <c r="I101" s="14">
        <f t="shared" si="3"/>
        <v>0</v>
      </c>
    </row>
    <row r="102" spans="1:9" x14ac:dyDescent="0.3">
      <c r="A102">
        <v>101</v>
      </c>
      <c r="D102">
        <f>IFERROR(VLOOKUP(B102,Caza!C:K,9,0), 0)</f>
        <v>2</v>
      </c>
      <c r="I102" s="14">
        <f t="shared" ref="I102:I116" si="4">SUM(D102:H102)</f>
        <v>2</v>
      </c>
    </row>
    <row r="103" spans="1:9" x14ac:dyDescent="0.3">
      <c r="A103">
        <v>104</v>
      </c>
      <c r="D103">
        <f>IFERROR(VLOOKUP(B103,Caza!C:K,9,0), 0)</f>
        <v>2</v>
      </c>
      <c r="I103" s="14">
        <f t="shared" si="4"/>
        <v>2</v>
      </c>
    </row>
    <row r="104" spans="1:9" x14ac:dyDescent="0.3">
      <c r="A104">
        <v>105</v>
      </c>
      <c r="D104">
        <f>IFERROR(VLOOKUP(B104,Caza!C:K,9,0), 0)</f>
        <v>2</v>
      </c>
      <c r="I104" s="14">
        <f t="shared" si="4"/>
        <v>2</v>
      </c>
    </row>
    <row r="105" spans="1:9" x14ac:dyDescent="0.3">
      <c r="A105">
        <v>106</v>
      </c>
      <c r="D105">
        <f>IFERROR(VLOOKUP(B105,Caza!C:K,9,0), 0)</f>
        <v>2</v>
      </c>
      <c r="I105" s="14">
        <f t="shared" si="4"/>
        <v>2</v>
      </c>
    </row>
    <row r="106" spans="1:9" x14ac:dyDescent="0.3">
      <c r="A106">
        <v>107</v>
      </c>
      <c r="D106">
        <f>IFERROR(VLOOKUP(B106,Caza!C:K,9,0), 0)</f>
        <v>2</v>
      </c>
      <c r="I106" s="14">
        <f t="shared" si="4"/>
        <v>2</v>
      </c>
    </row>
    <row r="107" spans="1:9" x14ac:dyDescent="0.3">
      <c r="A107">
        <v>108</v>
      </c>
      <c r="D107">
        <f>IFERROR(VLOOKUP(B107,Caza!C:K,9,0), 0)</f>
        <v>2</v>
      </c>
      <c r="I107" s="14">
        <f t="shared" si="4"/>
        <v>2</v>
      </c>
    </row>
    <row r="108" spans="1:9" x14ac:dyDescent="0.3">
      <c r="A108">
        <v>109</v>
      </c>
      <c r="D108">
        <f>IFERROR(VLOOKUP(B108,Caza!C:K,9,0), 0)</f>
        <v>2</v>
      </c>
      <c r="I108" s="14">
        <f t="shared" si="4"/>
        <v>2</v>
      </c>
    </row>
    <row r="109" spans="1:9" x14ac:dyDescent="0.3">
      <c r="A109">
        <v>110</v>
      </c>
      <c r="D109">
        <f>IFERROR(VLOOKUP(B109,Caza!C:K,9,0), 0)</f>
        <v>2</v>
      </c>
      <c r="I109" s="14">
        <f t="shared" si="4"/>
        <v>2</v>
      </c>
    </row>
    <row r="110" spans="1:9" x14ac:dyDescent="0.3">
      <c r="A110">
        <v>111</v>
      </c>
      <c r="D110">
        <f>IFERROR(VLOOKUP(B110,Caza!C:K,9,0), 0)</f>
        <v>2</v>
      </c>
      <c r="I110" s="14">
        <f t="shared" si="4"/>
        <v>2</v>
      </c>
    </row>
    <row r="111" spans="1:9" x14ac:dyDescent="0.3">
      <c r="A111">
        <v>112</v>
      </c>
      <c r="D111">
        <f>IFERROR(VLOOKUP(B111,Caza!C:K,9,0), 0)</f>
        <v>2</v>
      </c>
      <c r="I111" s="14">
        <f t="shared" si="4"/>
        <v>2</v>
      </c>
    </row>
    <row r="112" spans="1:9" x14ac:dyDescent="0.3">
      <c r="A112">
        <v>113</v>
      </c>
      <c r="D112">
        <f>IFERROR(VLOOKUP(B112,Caza!C:K,9,0), 0)</f>
        <v>2</v>
      </c>
      <c r="I112" s="14">
        <f t="shared" si="4"/>
        <v>2</v>
      </c>
    </row>
    <row r="113" spans="1:9" x14ac:dyDescent="0.3">
      <c r="A113">
        <v>114</v>
      </c>
      <c r="D113">
        <f>IFERROR(VLOOKUP(B113,Caza!C:K,9,0), 0)</f>
        <v>2</v>
      </c>
      <c r="I113" s="14">
        <f t="shared" si="4"/>
        <v>2</v>
      </c>
    </row>
    <row r="114" spans="1:9" x14ac:dyDescent="0.3">
      <c r="A114">
        <v>115</v>
      </c>
      <c r="D114">
        <f>IFERROR(VLOOKUP(B114,Caza!C:K,9,0), 0)</f>
        <v>2</v>
      </c>
      <c r="I114" s="14">
        <f t="shared" si="4"/>
        <v>2</v>
      </c>
    </row>
    <row r="115" spans="1:9" x14ac:dyDescent="0.3">
      <c r="A115">
        <v>116</v>
      </c>
      <c r="D115">
        <f>IFERROR(VLOOKUP(B115,Caza!C:K,9,0), 0)</f>
        <v>2</v>
      </c>
      <c r="I115" s="14">
        <f t="shared" si="4"/>
        <v>2</v>
      </c>
    </row>
    <row r="116" spans="1:9" x14ac:dyDescent="0.3">
      <c r="D116">
        <f>IFERROR(VLOOKUP(B116,Caza!C:K,9,0), 0)</f>
        <v>2</v>
      </c>
      <c r="I116" s="14">
        <f t="shared" si="4"/>
        <v>2</v>
      </c>
    </row>
  </sheetData>
  <pageMargins left="0.7" right="0.7" top="0.75" bottom="0.75" header="0.3" footer="0.3"/>
  <ignoredErrors>
    <ignoredError sqref="A103:C115 J2:J101 A102:C102 J102 E103:H115 E102:H102 J103:J115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5"/>
  <sheetViews>
    <sheetView workbookViewId="0">
      <selection activeCell="H10" sqref="H10"/>
    </sheetView>
  </sheetViews>
  <sheetFormatPr baseColWidth="10" defaultRowHeight="15.6" x14ac:dyDescent="0.3"/>
  <cols>
    <col min="1" max="1" width="13.8984375" bestFit="1" customWidth="1"/>
    <col min="2" max="2" width="21.8984375" bestFit="1" customWidth="1"/>
    <col min="3" max="3" width="18.3984375" bestFit="1" customWidth="1"/>
    <col min="4" max="4" width="8.8984375" bestFit="1" customWidth="1"/>
    <col min="5" max="5" width="3.796875" customWidth="1"/>
    <col min="6" max="6" width="22.796875" bestFit="1" customWidth="1"/>
  </cols>
  <sheetData>
    <row r="1" spans="1:6" x14ac:dyDescent="0.3">
      <c r="A1" t="s">
        <v>3</v>
      </c>
      <c r="B1" t="s">
        <v>140</v>
      </c>
      <c r="C1" t="s">
        <v>141</v>
      </c>
      <c r="D1" t="s">
        <v>118</v>
      </c>
      <c r="F1" s="10" t="s">
        <v>12</v>
      </c>
    </row>
    <row r="2" spans="1:6" x14ac:dyDescent="0.3">
      <c r="A2" t="s">
        <v>104</v>
      </c>
      <c r="B2">
        <v>16</v>
      </c>
      <c r="C2">
        <v>16</v>
      </c>
      <c r="D2">
        <v>4902</v>
      </c>
      <c r="F2" s="1" t="s">
        <v>15</v>
      </c>
    </row>
    <row r="3" spans="1:6" x14ac:dyDescent="0.3">
      <c r="A3" t="s">
        <v>72</v>
      </c>
      <c r="B3">
        <v>16</v>
      </c>
      <c r="C3">
        <v>16</v>
      </c>
      <c r="D3">
        <v>4671</v>
      </c>
    </row>
    <row r="4" spans="1:6" x14ac:dyDescent="0.3">
      <c r="A4" t="s">
        <v>59</v>
      </c>
      <c r="B4">
        <v>16</v>
      </c>
      <c r="C4">
        <v>16</v>
      </c>
      <c r="D4">
        <v>4383</v>
      </c>
    </row>
    <row r="5" spans="1:6" x14ac:dyDescent="0.3">
      <c r="A5" t="s">
        <v>96</v>
      </c>
      <c r="B5">
        <v>16</v>
      </c>
      <c r="C5">
        <v>16</v>
      </c>
      <c r="D5">
        <v>4367</v>
      </c>
    </row>
    <row r="6" spans="1:6" x14ac:dyDescent="0.3">
      <c r="A6" t="s">
        <v>43</v>
      </c>
      <c r="B6">
        <v>16</v>
      </c>
      <c r="C6">
        <v>16</v>
      </c>
      <c r="D6">
        <v>4234</v>
      </c>
    </row>
    <row r="7" spans="1:6" x14ac:dyDescent="0.3">
      <c r="A7" t="s">
        <v>22</v>
      </c>
      <c r="B7">
        <v>16</v>
      </c>
      <c r="C7">
        <v>16</v>
      </c>
      <c r="D7">
        <v>4182</v>
      </c>
    </row>
    <row r="8" spans="1:6" x14ac:dyDescent="0.3">
      <c r="A8" t="s">
        <v>49</v>
      </c>
      <c r="B8">
        <v>16</v>
      </c>
      <c r="C8">
        <v>16</v>
      </c>
      <c r="D8">
        <v>4141</v>
      </c>
    </row>
    <row r="9" spans="1:6" x14ac:dyDescent="0.3">
      <c r="A9" t="s">
        <v>51</v>
      </c>
      <c r="B9">
        <v>16</v>
      </c>
      <c r="C9">
        <v>16</v>
      </c>
      <c r="D9">
        <v>4133</v>
      </c>
    </row>
    <row r="10" spans="1:6" x14ac:dyDescent="0.3">
      <c r="A10" t="s">
        <v>69</v>
      </c>
      <c r="B10">
        <v>16</v>
      </c>
      <c r="C10">
        <v>16</v>
      </c>
      <c r="D10">
        <v>4092</v>
      </c>
    </row>
    <row r="11" spans="1:6" x14ac:dyDescent="0.3">
      <c r="A11" t="s">
        <v>41</v>
      </c>
      <c r="B11">
        <v>16</v>
      </c>
      <c r="C11">
        <v>16</v>
      </c>
      <c r="D11">
        <v>4079</v>
      </c>
    </row>
    <row r="12" spans="1:6" x14ac:dyDescent="0.3">
      <c r="A12" t="s">
        <v>92</v>
      </c>
      <c r="B12">
        <v>16</v>
      </c>
      <c r="C12">
        <v>16</v>
      </c>
      <c r="D12">
        <v>4066</v>
      </c>
    </row>
    <row r="13" spans="1:6" x14ac:dyDescent="0.3">
      <c r="A13" t="s">
        <v>58</v>
      </c>
      <c r="B13">
        <v>16</v>
      </c>
      <c r="C13">
        <v>16</v>
      </c>
      <c r="D13">
        <v>4060</v>
      </c>
    </row>
    <row r="14" spans="1:6" x14ac:dyDescent="0.3">
      <c r="A14" t="s">
        <v>26</v>
      </c>
      <c r="B14">
        <v>16</v>
      </c>
      <c r="C14">
        <v>16</v>
      </c>
      <c r="D14">
        <v>4033</v>
      </c>
    </row>
    <row r="15" spans="1:6" x14ac:dyDescent="0.3">
      <c r="A15" t="s">
        <v>44</v>
      </c>
      <c r="B15">
        <v>16</v>
      </c>
      <c r="C15">
        <v>16</v>
      </c>
      <c r="D15">
        <v>4030</v>
      </c>
    </row>
    <row r="16" spans="1:6" x14ac:dyDescent="0.3">
      <c r="A16" t="s">
        <v>91</v>
      </c>
      <c r="B16">
        <v>16</v>
      </c>
      <c r="C16">
        <v>16</v>
      </c>
      <c r="D16">
        <v>3964</v>
      </c>
    </row>
    <row r="17" spans="1:4" x14ac:dyDescent="0.3">
      <c r="A17" t="s">
        <v>94</v>
      </c>
      <c r="B17">
        <v>14</v>
      </c>
      <c r="C17">
        <v>14</v>
      </c>
      <c r="D17">
        <v>3911</v>
      </c>
    </row>
    <row r="18" spans="1:4" x14ac:dyDescent="0.3">
      <c r="A18" t="s">
        <v>88</v>
      </c>
      <c r="B18">
        <v>15</v>
      </c>
      <c r="C18">
        <v>16</v>
      </c>
      <c r="D18">
        <v>3904</v>
      </c>
    </row>
    <row r="19" spans="1:4" x14ac:dyDescent="0.3">
      <c r="A19" t="s">
        <v>107</v>
      </c>
      <c r="B19">
        <v>16</v>
      </c>
      <c r="C19">
        <v>16</v>
      </c>
      <c r="D19">
        <v>3895</v>
      </c>
    </row>
    <row r="20" spans="1:4" x14ac:dyDescent="0.3">
      <c r="A20" t="s">
        <v>23</v>
      </c>
      <c r="B20">
        <v>16</v>
      </c>
      <c r="C20">
        <v>16</v>
      </c>
      <c r="D20">
        <v>3886</v>
      </c>
    </row>
    <row r="21" spans="1:4" x14ac:dyDescent="0.3">
      <c r="A21" t="s">
        <v>50</v>
      </c>
      <c r="B21">
        <v>16</v>
      </c>
      <c r="C21">
        <v>16</v>
      </c>
      <c r="D21">
        <v>3830</v>
      </c>
    </row>
    <row r="22" spans="1:4" x14ac:dyDescent="0.3">
      <c r="A22" t="s">
        <v>102</v>
      </c>
      <c r="B22">
        <v>15</v>
      </c>
      <c r="C22">
        <v>16</v>
      </c>
      <c r="D22">
        <v>3801</v>
      </c>
    </row>
    <row r="23" spans="1:4" x14ac:dyDescent="0.3">
      <c r="A23" t="s">
        <v>79</v>
      </c>
      <c r="B23">
        <v>16</v>
      </c>
      <c r="C23">
        <v>16</v>
      </c>
      <c r="D23">
        <v>3793</v>
      </c>
    </row>
    <row r="24" spans="1:4" x14ac:dyDescent="0.3">
      <c r="A24" t="s">
        <v>57</v>
      </c>
      <c r="B24">
        <v>16</v>
      </c>
      <c r="C24">
        <v>16</v>
      </c>
      <c r="D24">
        <v>3788</v>
      </c>
    </row>
    <row r="25" spans="1:4" x14ac:dyDescent="0.3">
      <c r="A25" t="s">
        <v>37</v>
      </c>
      <c r="B25">
        <v>16</v>
      </c>
      <c r="C25">
        <v>16</v>
      </c>
      <c r="D25">
        <v>3785</v>
      </c>
    </row>
    <row r="26" spans="1:4" x14ac:dyDescent="0.3">
      <c r="A26" t="s">
        <v>54</v>
      </c>
      <c r="B26">
        <v>16</v>
      </c>
      <c r="C26">
        <v>16</v>
      </c>
      <c r="D26">
        <v>3765</v>
      </c>
    </row>
    <row r="27" spans="1:4" x14ac:dyDescent="0.3">
      <c r="A27" t="s">
        <v>46</v>
      </c>
      <c r="B27">
        <v>15</v>
      </c>
      <c r="C27">
        <v>16</v>
      </c>
      <c r="D27">
        <v>3756</v>
      </c>
    </row>
    <row r="28" spans="1:4" x14ac:dyDescent="0.3">
      <c r="A28" t="s">
        <v>55</v>
      </c>
      <c r="B28">
        <v>16</v>
      </c>
      <c r="C28">
        <v>16</v>
      </c>
      <c r="D28">
        <v>3708</v>
      </c>
    </row>
    <row r="29" spans="1:4" x14ac:dyDescent="0.3">
      <c r="A29" t="s">
        <v>106</v>
      </c>
      <c r="B29">
        <v>15</v>
      </c>
      <c r="C29">
        <v>16</v>
      </c>
      <c r="D29">
        <v>3704</v>
      </c>
    </row>
    <row r="30" spans="1:4" x14ac:dyDescent="0.3">
      <c r="A30" t="s">
        <v>89</v>
      </c>
      <c r="B30">
        <v>14</v>
      </c>
      <c r="C30">
        <v>16</v>
      </c>
      <c r="D30">
        <v>3704</v>
      </c>
    </row>
    <row r="31" spans="1:4" x14ac:dyDescent="0.3">
      <c r="A31" t="s">
        <v>85</v>
      </c>
      <c r="B31">
        <v>15</v>
      </c>
      <c r="C31">
        <v>15</v>
      </c>
      <c r="D31">
        <v>3703</v>
      </c>
    </row>
    <row r="32" spans="1:4" x14ac:dyDescent="0.3">
      <c r="A32" t="s">
        <v>27</v>
      </c>
      <c r="B32">
        <v>14</v>
      </c>
      <c r="C32">
        <v>16</v>
      </c>
      <c r="D32">
        <v>3674</v>
      </c>
    </row>
    <row r="33" spans="1:4" x14ac:dyDescent="0.3">
      <c r="A33" t="s">
        <v>103</v>
      </c>
      <c r="B33">
        <v>16</v>
      </c>
      <c r="C33">
        <v>16</v>
      </c>
      <c r="D33">
        <v>3664</v>
      </c>
    </row>
    <row r="34" spans="1:4" x14ac:dyDescent="0.3">
      <c r="A34" t="s">
        <v>14</v>
      </c>
      <c r="B34">
        <v>15</v>
      </c>
      <c r="C34">
        <v>16</v>
      </c>
      <c r="D34">
        <v>3661</v>
      </c>
    </row>
    <row r="35" spans="1:4" x14ac:dyDescent="0.3">
      <c r="A35" t="s">
        <v>81</v>
      </c>
      <c r="B35">
        <v>16</v>
      </c>
      <c r="C35">
        <v>16</v>
      </c>
      <c r="D35">
        <v>3661</v>
      </c>
    </row>
    <row r="36" spans="1:4" x14ac:dyDescent="0.3">
      <c r="A36" t="s">
        <v>32</v>
      </c>
      <c r="B36">
        <v>16</v>
      </c>
      <c r="C36">
        <v>16</v>
      </c>
      <c r="D36">
        <v>3653</v>
      </c>
    </row>
    <row r="37" spans="1:4" x14ac:dyDescent="0.3">
      <c r="A37" t="s">
        <v>60</v>
      </c>
      <c r="B37">
        <v>16</v>
      </c>
      <c r="C37">
        <v>16</v>
      </c>
      <c r="D37">
        <v>3640</v>
      </c>
    </row>
    <row r="38" spans="1:4" x14ac:dyDescent="0.3">
      <c r="A38" t="s">
        <v>65</v>
      </c>
      <c r="B38">
        <v>16</v>
      </c>
      <c r="C38">
        <v>16</v>
      </c>
      <c r="D38">
        <v>3627</v>
      </c>
    </row>
    <row r="39" spans="1:4" x14ac:dyDescent="0.3">
      <c r="A39" t="s">
        <v>77</v>
      </c>
      <c r="B39">
        <v>16</v>
      </c>
      <c r="C39">
        <v>16</v>
      </c>
      <c r="D39">
        <v>3624</v>
      </c>
    </row>
    <row r="40" spans="1:4" x14ac:dyDescent="0.3">
      <c r="A40" t="s">
        <v>40</v>
      </c>
      <c r="B40">
        <v>15</v>
      </c>
      <c r="C40">
        <v>16</v>
      </c>
      <c r="D40">
        <v>3600</v>
      </c>
    </row>
    <row r="41" spans="1:4" x14ac:dyDescent="0.3">
      <c r="A41" t="s">
        <v>61</v>
      </c>
      <c r="B41">
        <v>14</v>
      </c>
      <c r="C41">
        <v>16</v>
      </c>
      <c r="D41">
        <v>3589</v>
      </c>
    </row>
    <row r="42" spans="1:4" x14ac:dyDescent="0.3">
      <c r="A42" t="s">
        <v>66</v>
      </c>
      <c r="B42">
        <v>16</v>
      </c>
      <c r="C42">
        <v>16</v>
      </c>
      <c r="D42">
        <v>3588</v>
      </c>
    </row>
    <row r="43" spans="1:4" x14ac:dyDescent="0.3">
      <c r="A43" t="s">
        <v>73</v>
      </c>
      <c r="B43">
        <v>16</v>
      </c>
      <c r="C43">
        <v>16</v>
      </c>
      <c r="D43">
        <v>3588</v>
      </c>
    </row>
    <row r="44" spans="1:4" x14ac:dyDescent="0.3">
      <c r="A44" t="s">
        <v>39</v>
      </c>
      <c r="B44">
        <v>15</v>
      </c>
      <c r="C44">
        <v>16</v>
      </c>
      <c r="D44">
        <v>3585</v>
      </c>
    </row>
    <row r="45" spans="1:4" x14ac:dyDescent="0.3">
      <c r="A45" t="s">
        <v>62</v>
      </c>
      <c r="B45">
        <v>16</v>
      </c>
      <c r="C45">
        <v>16</v>
      </c>
      <c r="D45">
        <v>3571</v>
      </c>
    </row>
    <row r="46" spans="1:4" x14ac:dyDescent="0.3">
      <c r="A46" t="s">
        <v>100</v>
      </c>
      <c r="B46">
        <v>16</v>
      </c>
      <c r="C46">
        <v>16</v>
      </c>
      <c r="D46">
        <v>3567</v>
      </c>
    </row>
    <row r="47" spans="1:4" x14ac:dyDescent="0.3">
      <c r="A47" t="s">
        <v>53</v>
      </c>
      <c r="B47">
        <v>16</v>
      </c>
      <c r="C47">
        <v>16</v>
      </c>
      <c r="D47">
        <v>3558</v>
      </c>
    </row>
    <row r="48" spans="1:4" x14ac:dyDescent="0.3">
      <c r="A48" t="s">
        <v>105</v>
      </c>
      <c r="B48">
        <v>16</v>
      </c>
      <c r="C48">
        <v>16</v>
      </c>
      <c r="D48">
        <v>3558</v>
      </c>
    </row>
    <row r="49" spans="1:4" x14ac:dyDescent="0.3">
      <c r="A49" t="s">
        <v>93</v>
      </c>
      <c r="B49">
        <v>15</v>
      </c>
      <c r="C49">
        <v>15</v>
      </c>
      <c r="D49">
        <v>3558</v>
      </c>
    </row>
    <row r="50" spans="1:4" x14ac:dyDescent="0.3">
      <c r="A50" t="s">
        <v>64</v>
      </c>
      <c r="B50">
        <v>14</v>
      </c>
      <c r="C50">
        <v>16</v>
      </c>
      <c r="D50">
        <v>3548</v>
      </c>
    </row>
    <row r="51" spans="1:4" x14ac:dyDescent="0.3">
      <c r="A51" t="s">
        <v>78</v>
      </c>
      <c r="B51">
        <v>15</v>
      </c>
      <c r="C51">
        <v>16</v>
      </c>
      <c r="D51">
        <v>3546</v>
      </c>
    </row>
    <row r="52" spans="1:4" x14ac:dyDescent="0.3">
      <c r="A52" t="s">
        <v>35</v>
      </c>
      <c r="B52">
        <v>15</v>
      </c>
      <c r="C52">
        <v>15</v>
      </c>
      <c r="D52">
        <v>3529</v>
      </c>
    </row>
    <row r="53" spans="1:4" x14ac:dyDescent="0.3">
      <c r="A53" t="s">
        <v>16</v>
      </c>
      <c r="B53">
        <v>16</v>
      </c>
      <c r="C53">
        <v>16</v>
      </c>
      <c r="D53">
        <v>3521</v>
      </c>
    </row>
    <row r="54" spans="1:4" x14ac:dyDescent="0.3">
      <c r="A54" t="s">
        <v>71</v>
      </c>
      <c r="B54">
        <v>15</v>
      </c>
      <c r="C54">
        <v>16</v>
      </c>
      <c r="D54">
        <v>3515</v>
      </c>
    </row>
    <row r="55" spans="1:4" x14ac:dyDescent="0.3">
      <c r="A55" t="s">
        <v>63</v>
      </c>
      <c r="B55">
        <v>16</v>
      </c>
      <c r="C55">
        <v>16</v>
      </c>
      <c r="D55">
        <v>3504</v>
      </c>
    </row>
    <row r="56" spans="1:4" x14ac:dyDescent="0.3">
      <c r="A56" t="s">
        <v>75</v>
      </c>
      <c r="B56">
        <v>11</v>
      </c>
      <c r="C56">
        <v>12</v>
      </c>
      <c r="D56">
        <v>3496</v>
      </c>
    </row>
    <row r="57" spans="1:4" x14ac:dyDescent="0.3">
      <c r="A57" t="s">
        <v>84</v>
      </c>
      <c r="B57">
        <v>15</v>
      </c>
      <c r="C57">
        <v>15</v>
      </c>
      <c r="D57">
        <v>3488</v>
      </c>
    </row>
    <row r="58" spans="1:4" x14ac:dyDescent="0.3">
      <c r="A58" t="s">
        <v>17</v>
      </c>
      <c r="B58">
        <v>16</v>
      </c>
      <c r="C58">
        <v>16</v>
      </c>
      <c r="D58">
        <v>3478</v>
      </c>
    </row>
    <row r="59" spans="1:4" x14ac:dyDescent="0.3">
      <c r="A59" t="s">
        <v>42</v>
      </c>
      <c r="B59">
        <v>15</v>
      </c>
      <c r="C59">
        <v>16</v>
      </c>
      <c r="D59">
        <v>3470</v>
      </c>
    </row>
    <row r="60" spans="1:4" x14ac:dyDescent="0.3">
      <c r="A60" t="s">
        <v>48</v>
      </c>
      <c r="B60">
        <v>16</v>
      </c>
      <c r="C60">
        <v>16</v>
      </c>
      <c r="D60">
        <v>3460</v>
      </c>
    </row>
    <row r="61" spans="1:4" x14ac:dyDescent="0.3">
      <c r="A61" t="s">
        <v>114</v>
      </c>
      <c r="B61">
        <v>16</v>
      </c>
      <c r="C61">
        <v>16</v>
      </c>
      <c r="D61">
        <v>3459</v>
      </c>
    </row>
    <row r="62" spans="1:4" x14ac:dyDescent="0.3">
      <c r="A62" t="s">
        <v>21</v>
      </c>
      <c r="B62">
        <v>15</v>
      </c>
      <c r="C62">
        <v>16</v>
      </c>
      <c r="D62">
        <v>3451</v>
      </c>
    </row>
    <row r="63" spans="1:4" x14ac:dyDescent="0.3">
      <c r="A63" t="s">
        <v>110</v>
      </c>
      <c r="B63">
        <v>16</v>
      </c>
      <c r="C63">
        <v>16</v>
      </c>
      <c r="D63">
        <v>3440</v>
      </c>
    </row>
    <row r="64" spans="1:4" x14ac:dyDescent="0.3">
      <c r="A64" t="s">
        <v>70</v>
      </c>
      <c r="B64">
        <v>14</v>
      </c>
      <c r="C64">
        <v>15</v>
      </c>
      <c r="D64">
        <v>3435</v>
      </c>
    </row>
    <row r="65" spans="1:4" x14ac:dyDescent="0.3">
      <c r="A65" t="s">
        <v>115</v>
      </c>
      <c r="B65">
        <v>15</v>
      </c>
      <c r="C65">
        <v>16</v>
      </c>
      <c r="D65">
        <v>3416</v>
      </c>
    </row>
    <row r="66" spans="1:4" x14ac:dyDescent="0.3">
      <c r="A66" t="s">
        <v>108</v>
      </c>
      <c r="B66">
        <v>16</v>
      </c>
      <c r="C66">
        <v>16</v>
      </c>
      <c r="D66">
        <v>3393</v>
      </c>
    </row>
    <row r="67" spans="1:4" x14ac:dyDescent="0.3">
      <c r="A67" t="s">
        <v>101</v>
      </c>
      <c r="B67">
        <v>16</v>
      </c>
      <c r="C67">
        <v>16</v>
      </c>
      <c r="D67">
        <v>3392</v>
      </c>
    </row>
    <row r="68" spans="1:4" x14ac:dyDescent="0.3">
      <c r="A68" t="s">
        <v>90</v>
      </c>
      <c r="B68">
        <v>13</v>
      </c>
      <c r="C68">
        <v>14</v>
      </c>
      <c r="D68">
        <v>3347</v>
      </c>
    </row>
    <row r="69" spans="1:4" x14ac:dyDescent="0.3">
      <c r="A69" t="s">
        <v>82</v>
      </c>
      <c r="B69">
        <v>12</v>
      </c>
      <c r="C69">
        <v>12</v>
      </c>
      <c r="D69">
        <v>3317</v>
      </c>
    </row>
    <row r="70" spans="1:4" x14ac:dyDescent="0.3">
      <c r="A70" t="s">
        <v>34</v>
      </c>
      <c r="B70">
        <v>16</v>
      </c>
      <c r="C70">
        <v>16</v>
      </c>
      <c r="D70">
        <v>3316</v>
      </c>
    </row>
    <row r="71" spans="1:4" x14ac:dyDescent="0.3">
      <c r="A71" t="s">
        <v>52</v>
      </c>
      <c r="B71">
        <v>16</v>
      </c>
      <c r="C71">
        <v>16</v>
      </c>
      <c r="D71">
        <v>3296</v>
      </c>
    </row>
    <row r="72" spans="1:4" x14ac:dyDescent="0.3">
      <c r="A72" t="s">
        <v>24</v>
      </c>
      <c r="B72">
        <v>15</v>
      </c>
      <c r="C72">
        <v>15</v>
      </c>
      <c r="D72">
        <v>3294</v>
      </c>
    </row>
    <row r="73" spans="1:4" x14ac:dyDescent="0.3">
      <c r="A73" t="s">
        <v>36</v>
      </c>
      <c r="B73">
        <v>12</v>
      </c>
      <c r="C73">
        <v>13</v>
      </c>
      <c r="D73">
        <v>3259</v>
      </c>
    </row>
    <row r="74" spans="1:4" x14ac:dyDescent="0.3">
      <c r="A74" t="s">
        <v>86</v>
      </c>
      <c r="B74">
        <v>16</v>
      </c>
      <c r="C74">
        <v>16</v>
      </c>
      <c r="D74">
        <v>3244</v>
      </c>
    </row>
    <row r="75" spans="1:4" x14ac:dyDescent="0.3">
      <c r="A75" t="s">
        <v>25</v>
      </c>
      <c r="B75">
        <v>10</v>
      </c>
      <c r="C75">
        <v>10</v>
      </c>
      <c r="D75">
        <v>3240</v>
      </c>
    </row>
    <row r="76" spans="1:4" x14ac:dyDescent="0.3">
      <c r="A76" t="s">
        <v>68</v>
      </c>
      <c r="B76">
        <v>16</v>
      </c>
      <c r="C76">
        <v>16</v>
      </c>
      <c r="D76">
        <v>3217</v>
      </c>
    </row>
    <row r="77" spans="1:4" x14ac:dyDescent="0.3">
      <c r="A77" t="s">
        <v>30</v>
      </c>
      <c r="B77">
        <v>16</v>
      </c>
      <c r="C77">
        <v>16</v>
      </c>
      <c r="D77">
        <v>3209</v>
      </c>
    </row>
    <row r="78" spans="1:4" x14ac:dyDescent="0.3">
      <c r="A78" t="s">
        <v>67</v>
      </c>
      <c r="B78">
        <v>16</v>
      </c>
      <c r="C78">
        <v>16</v>
      </c>
      <c r="D78">
        <v>3208</v>
      </c>
    </row>
    <row r="79" spans="1:4" x14ac:dyDescent="0.3">
      <c r="A79" t="s">
        <v>80</v>
      </c>
      <c r="B79">
        <v>14</v>
      </c>
      <c r="C79">
        <v>16</v>
      </c>
      <c r="D79">
        <v>3202</v>
      </c>
    </row>
    <row r="80" spans="1:4" x14ac:dyDescent="0.3">
      <c r="A80" t="s">
        <v>47</v>
      </c>
      <c r="B80">
        <v>16</v>
      </c>
      <c r="C80">
        <v>16</v>
      </c>
      <c r="D80">
        <v>3202</v>
      </c>
    </row>
    <row r="81" spans="1:4" x14ac:dyDescent="0.3">
      <c r="A81" t="s">
        <v>83</v>
      </c>
      <c r="B81">
        <v>13</v>
      </c>
      <c r="C81">
        <v>16</v>
      </c>
      <c r="D81">
        <v>3201</v>
      </c>
    </row>
    <row r="82" spans="1:4" x14ac:dyDescent="0.3">
      <c r="A82" t="s">
        <v>95</v>
      </c>
      <c r="B82">
        <v>16</v>
      </c>
      <c r="C82">
        <v>16</v>
      </c>
      <c r="D82">
        <v>3201</v>
      </c>
    </row>
    <row r="83" spans="1:4" x14ac:dyDescent="0.3">
      <c r="A83" t="s">
        <v>99</v>
      </c>
      <c r="B83">
        <v>16</v>
      </c>
      <c r="C83">
        <v>16</v>
      </c>
      <c r="D83">
        <v>3183</v>
      </c>
    </row>
    <row r="84" spans="1:4" x14ac:dyDescent="0.3">
      <c r="A84" t="s">
        <v>98</v>
      </c>
      <c r="B84">
        <v>13</v>
      </c>
      <c r="C84">
        <v>13</v>
      </c>
      <c r="D84">
        <v>3167</v>
      </c>
    </row>
    <row r="85" spans="1:4" x14ac:dyDescent="0.3">
      <c r="A85" t="s">
        <v>74</v>
      </c>
      <c r="B85">
        <v>14</v>
      </c>
      <c r="C85">
        <v>14</v>
      </c>
      <c r="D85">
        <v>3087</v>
      </c>
    </row>
    <row r="86" spans="1:4" x14ac:dyDescent="0.3">
      <c r="A86" t="s">
        <v>45</v>
      </c>
      <c r="B86">
        <v>14</v>
      </c>
      <c r="C86">
        <v>16</v>
      </c>
      <c r="D86">
        <v>3079</v>
      </c>
    </row>
    <row r="87" spans="1:4" x14ac:dyDescent="0.3">
      <c r="A87" t="s">
        <v>111</v>
      </c>
      <c r="B87">
        <v>9</v>
      </c>
      <c r="C87">
        <v>10</v>
      </c>
      <c r="D87">
        <v>2447</v>
      </c>
    </row>
    <row r="88" spans="1:4" x14ac:dyDescent="0.3">
      <c r="A88" t="s">
        <v>97</v>
      </c>
      <c r="B88">
        <v>6</v>
      </c>
      <c r="C88">
        <v>7</v>
      </c>
      <c r="D88">
        <v>1946</v>
      </c>
    </row>
    <row r="89" spans="1:4" x14ac:dyDescent="0.3">
      <c r="A89" t="s">
        <v>109</v>
      </c>
      <c r="B89">
        <v>0</v>
      </c>
      <c r="C89">
        <v>0</v>
      </c>
      <c r="D89">
        <v>0</v>
      </c>
    </row>
    <row r="90" spans="1:4" x14ac:dyDescent="0.3">
      <c r="A90" t="s">
        <v>113</v>
      </c>
      <c r="B90">
        <v>0</v>
      </c>
      <c r="C90">
        <v>0</v>
      </c>
      <c r="D90">
        <v>0</v>
      </c>
    </row>
    <row r="91" spans="1:4" x14ac:dyDescent="0.3">
      <c r="A91" t="s">
        <v>112</v>
      </c>
      <c r="B91">
        <v>0</v>
      </c>
      <c r="C91">
        <v>0</v>
      </c>
      <c r="D91">
        <v>0</v>
      </c>
    </row>
    <row r="92" spans="1:4" x14ac:dyDescent="0.3">
      <c r="A92" t="s">
        <v>56</v>
      </c>
      <c r="B92">
        <v>0</v>
      </c>
      <c r="C92">
        <v>0</v>
      </c>
      <c r="D92">
        <v>0</v>
      </c>
    </row>
    <row r="93" spans="1:4" x14ac:dyDescent="0.3">
      <c r="A93" t="s">
        <v>38</v>
      </c>
      <c r="B93">
        <v>0</v>
      </c>
      <c r="C93">
        <v>0</v>
      </c>
      <c r="D93">
        <v>0</v>
      </c>
    </row>
    <row r="94" spans="1:4" x14ac:dyDescent="0.3">
      <c r="A94" t="s">
        <v>33</v>
      </c>
      <c r="B94">
        <v>0</v>
      </c>
      <c r="C94">
        <v>0</v>
      </c>
      <c r="D94">
        <v>0</v>
      </c>
    </row>
    <row r="95" spans="1:4" x14ac:dyDescent="0.3">
      <c r="A95" t="s">
        <v>29</v>
      </c>
      <c r="B95">
        <v>0</v>
      </c>
      <c r="C95">
        <v>0</v>
      </c>
      <c r="D95">
        <v>0</v>
      </c>
    </row>
  </sheetData>
  <pageMargins left="0.7" right="0.7" top="0.75" bottom="0.75" header="0.3" footer="0.3"/>
  <ignoredErrors>
    <ignoredError sqref="E1:F95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"/>
  <sheetViews>
    <sheetView workbookViewId="0">
      <selection activeCell="F1" sqref="F1:J1"/>
    </sheetView>
  </sheetViews>
  <sheetFormatPr baseColWidth="10" defaultRowHeight="15.6" x14ac:dyDescent="0.3"/>
  <sheetData>
    <row r="1" spans="1:19" x14ac:dyDescent="0.3">
      <c r="A1" t="s">
        <v>120</v>
      </c>
      <c r="B1" t="s">
        <v>1</v>
      </c>
      <c r="C1" t="s">
        <v>2</v>
      </c>
      <c r="D1" t="s">
        <v>3</v>
      </c>
      <c r="E1" t="s">
        <v>4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10</v>
      </c>
      <c r="L1" t="s">
        <v>11</v>
      </c>
      <c r="M1" t="s">
        <v>136</v>
      </c>
      <c r="N1" t="s">
        <v>137</v>
      </c>
      <c r="O1" t="s">
        <v>138</v>
      </c>
      <c r="P1" t="s">
        <v>139</v>
      </c>
      <c r="Q1">
        <v>46152</v>
      </c>
      <c r="R1">
        <v>46159</v>
      </c>
      <c r="S1">
        <v>46166</v>
      </c>
    </row>
    <row r="2" spans="1:19" x14ac:dyDescent="0.3">
      <c r="A2" t="s">
        <v>13</v>
      </c>
      <c r="B2" t="s">
        <v>18</v>
      </c>
      <c r="C2">
        <v>735092980</v>
      </c>
      <c r="D2" t="s">
        <v>42</v>
      </c>
      <c r="E2">
        <v>5</v>
      </c>
      <c r="F2">
        <v>2</v>
      </c>
      <c r="G2">
        <v>2</v>
      </c>
      <c r="H2">
        <v>1</v>
      </c>
      <c r="I2">
        <v>0</v>
      </c>
      <c r="J2">
        <v>0</v>
      </c>
      <c r="K2">
        <v>7</v>
      </c>
      <c r="L2">
        <v>27</v>
      </c>
      <c r="M2">
        <v>28</v>
      </c>
      <c r="N2">
        <f>IFERROR(VLOOKUP(C2,Numeros!A:C,3,0),584121633097)</f>
        <v>5212211427683</v>
      </c>
      <c r="O2">
        <f>SUM(M2,Q2,R2,S2)+35</f>
        <v>63</v>
      </c>
      <c r="P2" t="e">
        <f>COUNTIF(#REF!, C2)&gt;0</f>
        <v>#REF!</v>
      </c>
      <c r="Q2">
        <v>0</v>
      </c>
      <c r="R2">
        <v>0</v>
      </c>
      <c r="S2">
        <v>0</v>
      </c>
    </row>
    <row r="3" spans="1:19" x14ac:dyDescent="0.3">
      <c r="A3" t="s">
        <v>13</v>
      </c>
      <c r="B3" t="s">
        <v>18</v>
      </c>
      <c r="C3">
        <v>663429510</v>
      </c>
      <c r="D3" t="s">
        <v>59</v>
      </c>
      <c r="E3">
        <v>19</v>
      </c>
      <c r="F3">
        <v>0</v>
      </c>
      <c r="G3">
        <v>16</v>
      </c>
      <c r="H3">
        <v>3</v>
      </c>
      <c r="I3">
        <v>0</v>
      </c>
      <c r="J3">
        <v>0</v>
      </c>
      <c r="K3">
        <v>31</v>
      </c>
      <c r="L3">
        <v>125</v>
      </c>
      <c r="M3">
        <v>4</v>
      </c>
      <c r="N3">
        <f>IFERROR(VLOOKUP(C3,Numeros!A:C,3,0),584121633097)</f>
        <v>5214251085901</v>
      </c>
      <c r="O3">
        <f>SUM(M3,Q3,R3,S3)+35</f>
        <v>39</v>
      </c>
      <c r="P3" t="e">
        <f>COUNTIF(#REF!, C3)&gt;0</f>
        <v>#REF!</v>
      </c>
      <c r="Q3">
        <v>0</v>
      </c>
      <c r="R3">
        <v>0</v>
      </c>
      <c r="S3">
        <v>0</v>
      </c>
    </row>
    <row r="4" spans="1:19" x14ac:dyDescent="0.3">
      <c r="A4" t="s">
        <v>13</v>
      </c>
      <c r="B4" t="s">
        <v>18</v>
      </c>
      <c r="C4">
        <v>1040811175</v>
      </c>
      <c r="D4" t="s">
        <v>84</v>
      </c>
      <c r="E4">
        <v>10</v>
      </c>
      <c r="F4">
        <v>0</v>
      </c>
      <c r="G4">
        <v>4</v>
      </c>
      <c r="H4">
        <v>6</v>
      </c>
      <c r="I4">
        <v>0</v>
      </c>
      <c r="J4">
        <v>0</v>
      </c>
      <c r="K4">
        <v>34</v>
      </c>
      <c r="L4">
        <v>110</v>
      </c>
      <c r="M4">
        <v>1</v>
      </c>
      <c r="N4">
        <f>IFERROR(VLOOKUP(C4,Numeros!A:C,3,0),584121633097)</f>
        <v>5219611812448</v>
      </c>
      <c r="O4">
        <f>SUM(M4,Q4,R4,S4)+35</f>
        <v>36</v>
      </c>
      <c r="P4" t="e">
        <f>COUNTIF(#REF!, C4)&gt;0</f>
        <v>#REF!</v>
      </c>
      <c r="Q4">
        <v>0</v>
      </c>
      <c r="R4">
        <v>0</v>
      </c>
      <c r="S4">
        <v>0</v>
      </c>
    </row>
  </sheetData>
  <autoFilter ref="A1:S4" xr:uid="{00000000-0009-0000-0000-000005000000}"/>
  <pageMargins left="0.7" right="0.7" top="0.75" bottom="0.75" header="0.3" footer="0.3"/>
  <ignoredErrors>
    <ignoredError sqref="A1:T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5"/>
  <sheetViews>
    <sheetView topLeftCell="A73" workbookViewId="0">
      <selection activeCell="C25" sqref="C25"/>
    </sheetView>
  </sheetViews>
  <sheetFormatPr baseColWidth="10" defaultRowHeight="15.6" x14ac:dyDescent="0.3"/>
  <cols>
    <col min="2" max="2" width="13.8984375" bestFit="1" customWidth="1"/>
    <col min="3" max="3" width="21.69921875" customWidth="1"/>
  </cols>
  <sheetData>
    <row r="1" spans="1:3" x14ac:dyDescent="0.3">
      <c r="A1" t="s">
        <v>2</v>
      </c>
      <c r="B1" t="s">
        <v>3</v>
      </c>
      <c r="C1" t="s">
        <v>137</v>
      </c>
    </row>
    <row r="2" spans="1:3" x14ac:dyDescent="0.3">
      <c r="A2">
        <v>416845218</v>
      </c>
      <c r="B2" t="str">
        <f>VLOOKUP(Tabla6[[#This Row],[IGG ID]],Caza!C:D,2,0)</f>
        <v>Abraracurcix</v>
      </c>
      <c r="C2">
        <v>5491159089014</v>
      </c>
    </row>
    <row r="3" spans="1:3" x14ac:dyDescent="0.3">
      <c r="A3">
        <v>346561690</v>
      </c>
      <c r="B3" t="str">
        <f>VLOOKUP(Tabla6[[#This Row],[IGG ID]],Caza!C:D,2,0)</f>
        <v>AGUIRRE1</v>
      </c>
      <c r="C3">
        <v>5493417036998</v>
      </c>
    </row>
    <row r="4" spans="1:3" x14ac:dyDescent="0.3">
      <c r="A4">
        <v>365438142</v>
      </c>
      <c r="B4" t="str">
        <f>VLOOKUP(Tabla6[[#This Row],[IGG ID]],Caza!C:D,2,0)</f>
        <v>AGUIRRE1992</v>
      </c>
      <c r="C4">
        <v>5493417036998</v>
      </c>
    </row>
    <row r="5" spans="1:3" x14ac:dyDescent="0.3">
      <c r="A5">
        <v>673621517</v>
      </c>
      <c r="B5" t="e">
        <f>VLOOKUP(Tabla6[[#This Row],[IGG ID]],Caza!C:D,2,0)</f>
        <v>#N/A</v>
      </c>
    </row>
    <row r="6" spans="1:3" x14ac:dyDescent="0.3">
      <c r="A6">
        <v>0</v>
      </c>
      <c r="B6" t="str">
        <f>VLOOKUP(Tabla6[[#This Row],[IGG ID]],Caza!C:D,2,0)</f>
        <v>Adriana2791</v>
      </c>
    </row>
    <row r="7" spans="1:3" x14ac:dyDescent="0.3">
      <c r="A7">
        <v>326455645</v>
      </c>
      <c r="B7" t="str">
        <f>VLOOKUP(Tabla6[[#This Row],[IGG ID]],Caza!C:D,2,0)</f>
        <v>Asterix I</v>
      </c>
      <c r="C7">
        <v>5491159089014</v>
      </c>
    </row>
    <row r="8" spans="1:3" x14ac:dyDescent="0.3">
      <c r="A8">
        <v>2115871936</v>
      </c>
      <c r="B8" t="str">
        <f>VLOOKUP(Tabla6[[#This Row],[IGG ID]],Caza!C:D,2,0)</f>
        <v>Atlas55555</v>
      </c>
      <c r="C8">
        <v>584121633097</v>
      </c>
    </row>
    <row r="9" spans="1:3" x14ac:dyDescent="0.3">
      <c r="A9">
        <v>2024927090</v>
      </c>
      <c r="B9" t="str">
        <f>VLOOKUP(Tabla6[[#This Row],[IGG ID]],Caza!C:D,2,0)</f>
        <v>Atlas7770</v>
      </c>
      <c r="C9">
        <v>584121633097</v>
      </c>
    </row>
    <row r="10" spans="1:3" x14ac:dyDescent="0.3">
      <c r="A10">
        <v>1483867967</v>
      </c>
      <c r="B10" t="str">
        <f>VLOOKUP(Tabla6[[#This Row],[IGG ID]],Caza!C:D,2,0)</f>
        <v>badboys1</v>
      </c>
      <c r="C10">
        <v>556596113286</v>
      </c>
    </row>
    <row r="11" spans="1:3" x14ac:dyDescent="0.3">
      <c r="A11">
        <v>625607335</v>
      </c>
      <c r="B11" t="str">
        <f>VLOOKUP(Tabla6[[#This Row],[IGG ID]],Caza!C:D,2,0)</f>
        <v>Valkiria4xK</v>
      </c>
      <c r="C11">
        <v>556596113286</v>
      </c>
    </row>
    <row r="12" spans="1:3" x14ac:dyDescent="0.3">
      <c r="A12">
        <v>357402771</v>
      </c>
      <c r="B12" t="str">
        <f>VLOOKUP(Tabla6[[#This Row],[IGG ID]],Caza!C:D,2,0)</f>
        <v>Barometrix</v>
      </c>
      <c r="C12">
        <v>5491159089014</v>
      </c>
    </row>
    <row r="13" spans="1:3" x14ac:dyDescent="0.3">
      <c r="A13">
        <v>1041405085</v>
      </c>
      <c r="B13" t="str">
        <f>VLOOKUP(Tabla6[[#This Row],[IGG ID]],Caza!C:D,2,0)</f>
        <v>BK Juanjo</v>
      </c>
      <c r="C13">
        <v>573142905763</v>
      </c>
    </row>
    <row r="14" spans="1:3" x14ac:dyDescent="0.3">
      <c r="A14">
        <v>554156976</v>
      </c>
      <c r="B14" t="e">
        <f>VLOOKUP(Tabla6[[#This Row],[IGG ID]],Caza!C:D,2,0)</f>
        <v>#N/A</v>
      </c>
    </row>
    <row r="15" spans="1:3" x14ac:dyDescent="0.3">
      <c r="A15">
        <v>527890484</v>
      </c>
      <c r="B15" t="str">
        <f>VLOOKUP(Tabla6[[#This Row],[IGG ID]],Caza!C:D,2,0)</f>
        <v>Blurdomking</v>
      </c>
    </row>
    <row r="16" spans="1:3" x14ac:dyDescent="0.3">
      <c r="A16">
        <v>1036786251</v>
      </c>
      <c r="B16" t="str">
        <f>VLOOKUP(Tabla6[[#This Row],[IGG ID]],Caza!C:D,2,0)</f>
        <v>cafecitofrio</v>
      </c>
      <c r="C16">
        <v>56997784905</v>
      </c>
    </row>
    <row r="17" spans="1:3" x14ac:dyDescent="0.3">
      <c r="A17">
        <v>1922616643</v>
      </c>
      <c r="B17" t="e">
        <f>VLOOKUP(Tabla6[[#This Row],[IGG ID]],Caza!C:D,2,0)</f>
        <v>#N/A</v>
      </c>
    </row>
    <row r="18" spans="1:3" x14ac:dyDescent="0.3">
      <c r="A18">
        <v>747071768</v>
      </c>
      <c r="B18" t="str">
        <f>VLOOKUP(Tabla6[[#This Row],[IGG ID]],Caza!C:D,2,0)</f>
        <v>CHACHO 78</v>
      </c>
      <c r="C18">
        <v>34618068649</v>
      </c>
    </row>
    <row r="19" spans="1:3" x14ac:dyDescent="0.3">
      <c r="A19">
        <v>648763948</v>
      </c>
      <c r="B19" t="str">
        <f>VLOOKUP(Tabla6[[#This Row],[IGG ID]],Caza!C:D,2,0)</f>
        <v>chinita241</v>
      </c>
    </row>
    <row r="20" spans="1:3" x14ac:dyDescent="0.3">
      <c r="A20">
        <v>611721390</v>
      </c>
      <c r="B20" t="str">
        <f>VLOOKUP(Tabla6[[#This Row],[IGG ID]],Caza!C:D,2,0)</f>
        <v>CrakSoder25</v>
      </c>
      <c r="C20">
        <v>5215538901631</v>
      </c>
    </row>
    <row r="21" spans="1:3" x14ac:dyDescent="0.3">
      <c r="A21">
        <v>881905775</v>
      </c>
      <c r="B21" t="str">
        <f>VLOOKUP(Tabla6[[#This Row],[IGG ID]],Caza!C:D,2,0)</f>
        <v>DANTEE666</v>
      </c>
    </row>
    <row r="22" spans="1:3" x14ac:dyDescent="0.3">
      <c r="A22">
        <v>471968668</v>
      </c>
      <c r="B22" t="str">
        <f>VLOOKUP(Tabla6[[#This Row],[IGG ID]],Caza!C:D,2,0)</f>
        <v>David051190</v>
      </c>
      <c r="C22">
        <v>5493815620526</v>
      </c>
    </row>
    <row r="23" spans="1:3" x14ac:dyDescent="0.3">
      <c r="A23">
        <v>866932727</v>
      </c>
      <c r="B23" t="e">
        <f>VLOOKUP(Tabla6[[#This Row],[IGG ID]],Caza!C:D,2,0)</f>
        <v>#N/A</v>
      </c>
      <c r="C23">
        <v>50575406105</v>
      </c>
    </row>
    <row r="24" spans="1:3" x14ac:dyDescent="0.3">
      <c r="A24">
        <v>648809825</v>
      </c>
      <c r="B24" t="str">
        <f>VLOOKUP(Tabla6[[#This Row],[IGG ID]],Caza!C:D,2,0)</f>
        <v>El YuVe</v>
      </c>
    </row>
    <row r="25" spans="1:3" x14ac:dyDescent="0.3">
      <c r="A25">
        <v>412543735</v>
      </c>
      <c r="B25" t="str">
        <f>VLOOKUP(Tabla6[[#This Row],[IGG ID]],Caza!C:D,2,0)</f>
        <v>ELFOSFO</v>
      </c>
      <c r="C25">
        <v>5214495437706</v>
      </c>
    </row>
    <row r="26" spans="1:3" x14ac:dyDescent="0.3">
      <c r="A26">
        <v>723725687</v>
      </c>
      <c r="B26" t="str">
        <f>VLOOKUP(Tabla6[[#This Row],[IGG ID]],Caza!C:D,2,0)</f>
        <v>FALCON221</v>
      </c>
      <c r="C26">
        <v>34615730725</v>
      </c>
    </row>
    <row r="27" spans="1:3" x14ac:dyDescent="0.3">
      <c r="A27">
        <v>1698596813</v>
      </c>
      <c r="B27" t="str">
        <f>VLOOKUP(Tabla6[[#This Row],[IGG ID]],Caza!C:D,2,0)</f>
        <v>Gastly237</v>
      </c>
      <c r="C27">
        <v>5212211427683</v>
      </c>
    </row>
    <row r="28" spans="1:3" x14ac:dyDescent="0.3">
      <c r="A28">
        <v>735092980</v>
      </c>
      <c r="B28" t="str">
        <f>VLOOKUP(Tabla6[[#This Row],[IGG ID]],Caza!C:D,2,0)</f>
        <v>Gengar237</v>
      </c>
      <c r="C28">
        <v>5212211427683</v>
      </c>
    </row>
    <row r="29" spans="1:3" x14ac:dyDescent="0.3">
      <c r="A29">
        <v>1346964807</v>
      </c>
      <c r="B29" t="str">
        <f>VLOOKUP(Tabla6[[#This Row],[IGG ID]],Caza!C:D,2,0)</f>
        <v>GokuBlack25</v>
      </c>
      <c r="C29">
        <v>584129619123</v>
      </c>
    </row>
    <row r="30" spans="1:3" x14ac:dyDescent="0.3">
      <c r="A30">
        <v>1529804845</v>
      </c>
      <c r="B30" t="str">
        <f>VLOOKUP(Tabla6[[#This Row],[IGG ID]],Caza!C:D,2,0)</f>
        <v>GokuBlack26</v>
      </c>
      <c r="C30">
        <v>584129619123</v>
      </c>
    </row>
    <row r="31" spans="1:3" x14ac:dyDescent="0.3">
      <c r="A31">
        <v>817775064</v>
      </c>
      <c r="B31" t="str">
        <f>VLOOKUP(Tabla6[[#This Row],[IGG ID]],Caza!C:D,2,0)</f>
        <v>Hades 04</v>
      </c>
    </row>
    <row r="32" spans="1:3" x14ac:dyDescent="0.3">
      <c r="A32">
        <v>2060348531</v>
      </c>
      <c r="B32" t="str">
        <f>VLOOKUP(Tabla6[[#This Row],[IGG ID]],Caza!C:D,2,0)</f>
        <v>Hotspot 2</v>
      </c>
      <c r="C32">
        <v>584121633097</v>
      </c>
    </row>
    <row r="33" spans="1:3" x14ac:dyDescent="0.3">
      <c r="A33">
        <v>516441517</v>
      </c>
      <c r="B33" t="str">
        <f>VLOOKUP(Tabla6[[#This Row],[IGG ID]],Caza!C:D,2,0)</f>
        <v>I GNACIO</v>
      </c>
    </row>
    <row r="34" spans="1:3" x14ac:dyDescent="0.3">
      <c r="A34">
        <v>1041170254</v>
      </c>
      <c r="B34" t="str">
        <f>VLOOKUP(Tabla6[[#This Row],[IGG ID]],Caza!C:D,2,0)</f>
        <v>il pegaso</v>
      </c>
      <c r="C34">
        <v>5215525003448</v>
      </c>
    </row>
    <row r="35" spans="1:3" x14ac:dyDescent="0.3">
      <c r="A35">
        <v>334846462</v>
      </c>
      <c r="B35" t="str">
        <f>VLOOKUP(Tabla6[[#This Row],[IGG ID]],Caza!C:D,2,0)</f>
        <v>Inng3nN</v>
      </c>
      <c r="C35">
        <v>5214776551136</v>
      </c>
    </row>
    <row r="36" spans="1:3" x14ac:dyDescent="0.3">
      <c r="A36">
        <v>1092680272</v>
      </c>
      <c r="B36" t="str">
        <f>VLOOKUP(Tabla6[[#This Row],[IGG ID]],Caza!C:D,2,0)</f>
        <v>ins4n3 TH</v>
      </c>
      <c r="C36">
        <v>584162672027</v>
      </c>
    </row>
    <row r="37" spans="1:3" x14ac:dyDescent="0.3">
      <c r="A37">
        <v>582104628</v>
      </c>
      <c r="B37" t="str">
        <f>VLOOKUP(Tabla6[[#This Row],[IGG ID]],Caza!C:D,2,0)</f>
        <v>JonyG2013</v>
      </c>
      <c r="C37">
        <v>5493815620526</v>
      </c>
    </row>
    <row r="38" spans="1:3" x14ac:dyDescent="0.3">
      <c r="A38">
        <v>689257712</v>
      </c>
      <c r="B38" t="str">
        <f>VLOOKUP(Tabla6[[#This Row],[IGG ID]],Caza!C:D,2,0)</f>
        <v>Juanjojjp</v>
      </c>
      <c r="C38">
        <v>573142905763</v>
      </c>
    </row>
    <row r="39" spans="1:3" x14ac:dyDescent="0.3">
      <c r="A39">
        <v>1023770253</v>
      </c>
      <c r="B39" t="str">
        <f>VLOOKUP(Tabla6[[#This Row],[IGG ID]],Caza!C:D,2,0)</f>
        <v>K4K4SHI009</v>
      </c>
      <c r="C39">
        <v>584242029084</v>
      </c>
    </row>
    <row r="40" spans="1:3" x14ac:dyDescent="0.3">
      <c r="A40">
        <v>1041184896</v>
      </c>
      <c r="B40" t="str">
        <f>VLOOKUP(Tabla6[[#This Row],[IGG ID]],Caza!C:D,2,0)</f>
        <v>KeoIII1</v>
      </c>
    </row>
    <row r="41" spans="1:3" x14ac:dyDescent="0.3">
      <c r="A41">
        <v>658843231</v>
      </c>
      <c r="B41" t="str">
        <f>VLOOKUP(Tabla6[[#This Row],[IGG ID]],Caza!C:D,2,0)</f>
        <v>LifeToxic</v>
      </c>
      <c r="C41">
        <v>584121633097</v>
      </c>
    </row>
    <row r="42" spans="1:3" x14ac:dyDescent="0.3">
      <c r="A42">
        <v>653834656</v>
      </c>
      <c r="B42" t="str">
        <f>VLOOKUP(Tabla6[[#This Row],[IGG ID]],Caza!C:D,2,0)</f>
        <v>M A R P E</v>
      </c>
    </row>
    <row r="43" spans="1:3" x14ac:dyDescent="0.3">
      <c r="A43">
        <v>613063847</v>
      </c>
      <c r="B43" t="str">
        <f>VLOOKUP(Tabla6[[#This Row],[IGG ID]],Caza!C:D,2,0)</f>
        <v>M3GA6</v>
      </c>
      <c r="C43">
        <v>5215538901631</v>
      </c>
    </row>
    <row r="44" spans="1:3" x14ac:dyDescent="0.3">
      <c r="A44">
        <v>1112847542</v>
      </c>
      <c r="B44" t="str">
        <f>VLOOKUP(Tabla6[[#This Row],[IGG ID]],Caza!C:D,2,0)</f>
        <v>Maxi D</v>
      </c>
    </row>
    <row r="45" spans="1:3" x14ac:dyDescent="0.3">
      <c r="A45">
        <v>663429510</v>
      </c>
      <c r="B45" t="str">
        <f>VLOOKUP(Tabla6[[#This Row],[IGG ID]],Caza!C:D,2,0)</f>
        <v>Megadiablo</v>
      </c>
      <c r="C45">
        <v>5214251085901</v>
      </c>
    </row>
    <row r="46" spans="1:3" x14ac:dyDescent="0.3">
      <c r="A46">
        <v>852051372</v>
      </c>
      <c r="B46" t="str">
        <f>VLOOKUP(Tabla6[[#This Row],[IGG ID]],Caza!C:D,2,0)</f>
        <v>mini culichi</v>
      </c>
      <c r="C46">
        <v>5216671187009</v>
      </c>
    </row>
    <row r="47" spans="1:3" x14ac:dyDescent="0.3">
      <c r="A47">
        <v>1915163097</v>
      </c>
      <c r="B47" t="str">
        <f>VLOOKUP(Tabla6[[#This Row],[IGG ID]],Caza!C:D,2,0)</f>
        <v>MiniFaker TH</v>
      </c>
      <c r="C47">
        <v>584121633097</v>
      </c>
    </row>
    <row r="48" spans="1:3" x14ac:dyDescent="0.3">
      <c r="A48">
        <v>1268142112</v>
      </c>
      <c r="B48" t="str">
        <f>VLOOKUP(Tabla6[[#This Row],[IGG ID]],Caza!C:D,2,0)</f>
        <v>MORETHANLIFE</v>
      </c>
      <c r="C48">
        <v>56940442393</v>
      </c>
    </row>
    <row r="49" spans="1:3" x14ac:dyDescent="0.3">
      <c r="A49">
        <v>1835847308</v>
      </c>
      <c r="B49" t="str">
        <f>VLOOKUP(Tabla6[[#This Row],[IGG ID]],Caza!C:D,2,0)</f>
        <v>Moscu V</v>
      </c>
      <c r="C49">
        <v>584246118993</v>
      </c>
    </row>
    <row r="50" spans="1:3" x14ac:dyDescent="0.3">
      <c r="A50">
        <v>973732352</v>
      </c>
      <c r="B50" t="str">
        <f>VLOOKUP(Tabla6[[#This Row],[IGG ID]],Caza!C:D,2,0)</f>
        <v>R3Z3</v>
      </c>
      <c r="C50">
        <v>5215538901631</v>
      </c>
    </row>
    <row r="51" spans="1:3" x14ac:dyDescent="0.3">
      <c r="A51">
        <v>869080899</v>
      </c>
      <c r="B51" t="str">
        <f>VLOOKUP(Tabla6[[#This Row],[IGG ID]],Caza!C:D,2,0)</f>
        <v>Nino18</v>
      </c>
      <c r="C51">
        <v>17324893519</v>
      </c>
    </row>
    <row r="52" spans="1:3" x14ac:dyDescent="0.3">
      <c r="A52">
        <v>916473485</v>
      </c>
      <c r="B52" t="str">
        <f>VLOOKUP(Tabla6[[#This Row],[IGG ID]],Caza!C:D,2,0)</f>
        <v>Nino2</v>
      </c>
      <c r="C52">
        <v>17324893519</v>
      </c>
    </row>
    <row r="53" spans="1:3" x14ac:dyDescent="0.3">
      <c r="A53">
        <v>500920417</v>
      </c>
      <c r="B53" t="str">
        <f>VLOOKUP(Tabla6[[#This Row],[IGG ID]],Caza!C:D,2,0)</f>
        <v>No Soy Bro</v>
      </c>
    </row>
    <row r="54" spans="1:3" x14ac:dyDescent="0.3">
      <c r="A54">
        <v>376342700</v>
      </c>
      <c r="B54" t="str">
        <f>VLOOKUP(Tabla6[[#This Row],[IGG ID]],Caza!C:D,2,0)</f>
        <v>NoSoyWey</v>
      </c>
    </row>
    <row r="55" spans="1:3" x14ac:dyDescent="0.3">
      <c r="A55">
        <v>651360013</v>
      </c>
      <c r="B55" t="str">
        <f>VLOOKUP(Tabla6[[#This Row],[IGG ID]],Caza!C:D,2,0)</f>
        <v>TH Toxic</v>
      </c>
      <c r="C55">
        <v>584121633097</v>
      </c>
    </row>
    <row r="56" spans="1:3" x14ac:dyDescent="0.3">
      <c r="A56">
        <v>545632943</v>
      </c>
      <c r="B56" t="str">
        <f>VLOOKUP(Tabla6[[#This Row],[IGG ID]],Caza!C:D,2,0)</f>
        <v>Notlife 2</v>
      </c>
      <c r="C56">
        <v>584121633097</v>
      </c>
    </row>
    <row r="57" spans="1:3" x14ac:dyDescent="0.3">
      <c r="A57">
        <v>2057192192</v>
      </c>
      <c r="B57" t="str">
        <f>VLOOKUP(Tabla6[[#This Row],[IGG ID]],Caza!C:D,2,0)</f>
        <v>NotLife2</v>
      </c>
      <c r="C57">
        <v>584121633097</v>
      </c>
    </row>
    <row r="58" spans="1:3" x14ac:dyDescent="0.3">
      <c r="A58">
        <v>997405085</v>
      </c>
      <c r="B58" t="str">
        <f>VLOOKUP(Tabla6[[#This Row],[IGG ID]],Caza!C:D,2,0)</f>
        <v>Nydan D</v>
      </c>
      <c r="C58">
        <v>584121633097</v>
      </c>
    </row>
    <row r="59" spans="1:3" x14ac:dyDescent="0.3">
      <c r="A59">
        <v>368989323</v>
      </c>
      <c r="B59" t="str">
        <f>VLOOKUP(Tabla6[[#This Row],[IGG ID]],Caza!C:D,2,0)</f>
        <v>Obelix I</v>
      </c>
      <c r="C59">
        <v>5491159089014</v>
      </c>
    </row>
    <row r="60" spans="1:3" x14ac:dyDescent="0.3">
      <c r="A60">
        <v>1067470462</v>
      </c>
      <c r="B60" t="e">
        <f>VLOOKUP(Tabla6[[#This Row],[IGG ID]],Caza!C:D,2,0)</f>
        <v>#N/A</v>
      </c>
    </row>
    <row r="61" spans="1:3" x14ac:dyDescent="0.3">
      <c r="A61">
        <v>829088153</v>
      </c>
      <c r="B61" t="str">
        <f>VLOOKUP(Tabla6[[#This Row],[IGG ID]],Caza!C:D,2,0)</f>
        <v>OzMagig</v>
      </c>
      <c r="C61">
        <v>556596113286</v>
      </c>
    </row>
    <row r="62" spans="1:3" x14ac:dyDescent="0.3">
      <c r="A62">
        <v>952505208</v>
      </c>
      <c r="B62" t="e">
        <f>VLOOKUP(Tabla6[[#This Row],[IGG ID]],Caza!C:D,2,0)</f>
        <v>#N/A</v>
      </c>
    </row>
    <row r="63" spans="1:3" x14ac:dyDescent="0.3">
      <c r="A63">
        <v>804415402</v>
      </c>
      <c r="B63" t="str">
        <f>VLOOKUP(Tabla6[[#This Row],[IGG ID]],Caza!C:D,2,0)</f>
        <v>pabellon</v>
      </c>
      <c r="C63">
        <v>584126549233</v>
      </c>
    </row>
    <row r="64" spans="1:3" x14ac:dyDescent="0.3">
      <c r="A64">
        <v>526268020</v>
      </c>
      <c r="B64" t="str">
        <f>VLOOKUP(Tabla6[[#This Row],[IGG ID]],Caza!C:D,2,0)</f>
        <v>Panoramix I</v>
      </c>
      <c r="C64">
        <v>5491159089014</v>
      </c>
    </row>
    <row r="65" spans="1:3" x14ac:dyDescent="0.3">
      <c r="A65">
        <v>1040942817</v>
      </c>
      <c r="B65" t="str">
        <f>VLOOKUP(Tabla6[[#This Row],[IGG ID]],Caza!C:D,2,0)</f>
        <v>pegasotenma</v>
      </c>
      <c r="C65">
        <v>5215525003448</v>
      </c>
    </row>
    <row r="66" spans="1:3" x14ac:dyDescent="0.3">
      <c r="A66">
        <v>919665444</v>
      </c>
      <c r="B66" t="str">
        <f>VLOOKUP(Tabla6[[#This Row],[IGG ID]],Caza!C:D,2,0)</f>
        <v>XxTatuxX1</v>
      </c>
      <c r="C66">
        <v>51921656402</v>
      </c>
    </row>
    <row r="67" spans="1:3" x14ac:dyDescent="0.3">
      <c r="A67">
        <v>1276495104</v>
      </c>
      <c r="B67" t="str">
        <f>VLOOKUP(Tabla6[[#This Row],[IGG ID]],Caza!C:D,2,0)</f>
        <v>Rastkolnikof</v>
      </c>
      <c r="C67">
        <v>573142905763</v>
      </c>
    </row>
    <row r="68" spans="1:3" x14ac:dyDescent="0.3">
      <c r="A68">
        <v>829026210</v>
      </c>
      <c r="B68" t="str">
        <f>VLOOKUP(Tabla6[[#This Row],[IGG ID]],Caza!C:D,2,0)</f>
        <v>ReySparta</v>
      </c>
      <c r="C68">
        <v>556596113286</v>
      </c>
    </row>
    <row r="69" spans="1:3" x14ac:dyDescent="0.3">
      <c r="A69">
        <v>1041187189</v>
      </c>
      <c r="B69" t="str">
        <f>VLOOKUP(Tabla6[[#This Row],[IGG ID]],Caza!C:D,2,0)</f>
        <v>RODRIGUEZ 12</v>
      </c>
      <c r="C69">
        <v>5214495437706</v>
      </c>
    </row>
    <row r="70" spans="1:3" x14ac:dyDescent="0.3">
      <c r="A70">
        <v>1040811175</v>
      </c>
      <c r="B70" t="str">
        <f>VLOOKUP(Tabla6[[#This Row],[IGG ID]],Caza!C:D,2,0)</f>
        <v>SantiagoTb</v>
      </c>
      <c r="C70">
        <v>5219611812448</v>
      </c>
    </row>
    <row r="71" spans="1:3" x14ac:dyDescent="0.3">
      <c r="A71">
        <v>940947273</v>
      </c>
      <c r="B71" t="str">
        <f>VLOOKUP(Tabla6[[#This Row],[IGG ID]],Caza!C:D,2,0)</f>
        <v>Valkiria4k</v>
      </c>
      <c r="C71">
        <v>556596113286</v>
      </c>
    </row>
    <row r="72" spans="1:3" x14ac:dyDescent="0.3">
      <c r="A72">
        <v>559847999</v>
      </c>
      <c r="B72" t="str">
        <f>VLOOKUP(Tabla6[[#This Row],[IGG ID]],Caza!C:D,2,0)</f>
        <v>SoNy5</v>
      </c>
      <c r="C72">
        <v>5215538901631</v>
      </c>
    </row>
    <row r="73" spans="1:3" x14ac:dyDescent="0.3">
      <c r="A73">
        <v>1040607318</v>
      </c>
      <c r="B73" t="str">
        <f>VLOOKUP(Tabla6[[#This Row],[IGG ID]],Caza!C:D,2,0)</f>
        <v>super ARAGON</v>
      </c>
    </row>
    <row r="74" spans="1:3" x14ac:dyDescent="0.3">
      <c r="A74">
        <v>605950874</v>
      </c>
      <c r="B74" t="str">
        <f>VLOOKUP(Tabla6[[#This Row],[IGG ID]],Caza!C:D,2,0)</f>
        <v>T0XXXIC0</v>
      </c>
      <c r="C74">
        <v>5214773724690</v>
      </c>
    </row>
    <row r="75" spans="1:3" x14ac:dyDescent="0.3">
      <c r="A75">
        <v>1923743214</v>
      </c>
      <c r="B75" t="str">
        <f>VLOOKUP(Tabla6[[#This Row],[IGG ID]],Caza!C:D,2,0)</f>
        <v>TH Anteiku</v>
      </c>
      <c r="C75">
        <v>584121633097</v>
      </c>
    </row>
    <row r="76" spans="1:3" x14ac:dyDescent="0.3">
      <c r="A76">
        <v>1913187635</v>
      </c>
      <c r="B76" t="str">
        <f>VLOOKUP(Tabla6[[#This Row],[IGG ID]],Caza!C:D,2,0)</f>
        <v>TH NotLife</v>
      </c>
      <c r="C76">
        <v>584121633097</v>
      </c>
    </row>
    <row r="77" spans="1:3" x14ac:dyDescent="0.3">
      <c r="A77">
        <v>1919512898</v>
      </c>
      <c r="B77" t="str">
        <f>VLOOKUP(Tabla6[[#This Row],[IGG ID]],Caza!C:D,2,0)</f>
        <v>TH Notlife2</v>
      </c>
      <c r="C77">
        <v>584121633097</v>
      </c>
    </row>
    <row r="78" spans="1:3" x14ac:dyDescent="0.3">
      <c r="A78">
        <v>395091349</v>
      </c>
      <c r="B78" t="str">
        <f>VLOOKUP(Tabla6[[#This Row],[IGG ID]],Caza!C:D,2,0)</f>
        <v>Th3BigB0ss</v>
      </c>
      <c r="C78">
        <v>5493815620526</v>
      </c>
    </row>
    <row r="79" spans="1:3" x14ac:dyDescent="0.3">
      <c r="A79">
        <v>677616563</v>
      </c>
      <c r="B79" t="str">
        <f>VLOOKUP(Tabla6[[#This Row],[IGG ID]],Caza!C:D,2,0)</f>
        <v>THE CHINOX24</v>
      </c>
    </row>
    <row r="80" spans="1:3" x14ac:dyDescent="0.3">
      <c r="A80">
        <v>640955210</v>
      </c>
      <c r="B80" t="str">
        <f>VLOOKUP(Tabla6[[#This Row],[IGG ID]],Caza!C:D,2,0)</f>
        <v>Valentin</v>
      </c>
    </row>
    <row r="81" spans="1:3" x14ac:dyDescent="0.3">
      <c r="A81">
        <v>424972261</v>
      </c>
      <c r="B81" t="str">
        <f>VLOOKUP(Tabla6[[#This Row],[IGG ID]],Caza!C:D,2,0)</f>
        <v>VALEP</v>
      </c>
    </row>
    <row r="82" spans="1:3" x14ac:dyDescent="0.3">
      <c r="A82">
        <v>710619616</v>
      </c>
      <c r="B82" t="str">
        <f>VLOOKUP(Tabla6[[#This Row],[IGG ID]],Caza!C:D,2,0)</f>
        <v>Vampyro3xxx</v>
      </c>
      <c r="C82">
        <v>40773763318</v>
      </c>
    </row>
    <row r="83" spans="1:3" x14ac:dyDescent="0.3">
      <c r="A83">
        <v>1294894373</v>
      </c>
      <c r="B83" t="e">
        <f>VLOOKUP(Tabla6[[#This Row],[IGG ID]],Caza!C:D,2,0)</f>
        <v>#N/A</v>
      </c>
      <c r="C83">
        <v>573003791461</v>
      </c>
    </row>
    <row r="84" spans="1:3" x14ac:dyDescent="0.3">
      <c r="A84">
        <v>989087967</v>
      </c>
      <c r="B84" t="str">
        <f>VLOOKUP(Tabla6[[#This Row],[IGG ID]],Caza!C:D,2,0)</f>
        <v>Vega 39</v>
      </c>
      <c r="C84">
        <v>573003791461</v>
      </c>
    </row>
    <row r="85" spans="1:3" x14ac:dyDescent="0.3">
      <c r="A85">
        <v>1769834648</v>
      </c>
      <c r="B85" t="str">
        <f>VLOOKUP(Tabla6[[#This Row],[IGG ID]],Caza!C:D,2,0)</f>
        <v>Vegueta 69</v>
      </c>
      <c r="C85">
        <v>50582599488</v>
      </c>
    </row>
    <row r="86" spans="1:3" x14ac:dyDescent="0.3">
      <c r="A86">
        <v>927459756</v>
      </c>
      <c r="B86" t="str">
        <f>VLOOKUP(Tabla6[[#This Row],[IGG ID]],Caza!C:D,2,0)</f>
        <v>Vegueta blu</v>
      </c>
      <c r="C86">
        <v>50582599488</v>
      </c>
    </row>
    <row r="87" spans="1:3" x14ac:dyDescent="0.3">
      <c r="A87">
        <v>1467795273</v>
      </c>
      <c r="B87" t="str">
        <f>VLOOKUP(Tabla6[[#This Row],[IGG ID]],Caza!C:D,2,0)</f>
        <v>Washington I</v>
      </c>
      <c r="C87">
        <v>584246118993</v>
      </c>
    </row>
    <row r="88" spans="1:3" x14ac:dyDescent="0.3">
      <c r="A88">
        <v>821134729</v>
      </c>
      <c r="B88" t="str">
        <f>VLOOKUP(Tabla6[[#This Row],[IGG ID]],Caza!C:D,2,0)</f>
        <v>willy 10</v>
      </c>
    </row>
    <row r="89" spans="1:3" x14ac:dyDescent="0.3">
      <c r="A89">
        <v>777343597</v>
      </c>
      <c r="B89" t="str">
        <f>VLOOKUP(Tabla6[[#This Row],[IGG ID]],Caza!C:D,2,0)</f>
        <v>X ANDALUCI X</v>
      </c>
      <c r="C89">
        <v>34618068649</v>
      </c>
    </row>
    <row r="90" spans="1:3" x14ac:dyDescent="0.3">
      <c r="A90">
        <v>701806212</v>
      </c>
      <c r="B90" t="str">
        <f>VLOOKUP(Tabla6[[#This Row],[IGG ID]],Caza!C:D,2,0)</f>
        <v>X BAILEN X</v>
      </c>
      <c r="C90">
        <v>34618068649</v>
      </c>
    </row>
    <row r="91" spans="1:3" x14ac:dyDescent="0.3">
      <c r="A91">
        <v>1264043363</v>
      </c>
      <c r="B91" t="str">
        <f>VLOOKUP(Tabla6[[#This Row],[IGG ID]],Caza!C:D,2,0)</f>
        <v>xavy3r</v>
      </c>
      <c r="C91">
        <v>5215525003448</v>
      </c>
    </row>
    <row r="92" spans="1:3" x14ac:dyDescent="0.3">
      <c r="A92">
        <v>1917368618</v>
      </c>
      <c r="B92" t="str">
        <f>VLOOKUP(Tabla6[[#This Row],[IGG ID]],Caza!C:D,2,0)</f>
        <v>xJokerx TH</v>
      </c>
      <c r="C92">
        <v>584121633097</v>
      </c>
    </row>
    <row r="93" spans="1:3" x14ac:dyDescent="0.3">
      <c r="A93">
        <v>1806182451</v>
      </c>
      <c r="B93" t="str">
        <f>VLOOKUP(Tabla6[[#This Row],[IGG ID]],Caza!C:D,2,0)</f>
        <v>xkaigaku7x</v>
      </c>
      <c r="C93">
        <v>584246118993</v>
      </c>
    </row>
    <row r="94" spans="1:3" x14ac:dyDescent="0.3">
      <c r="A94">
        <v>1727138266</v>
      </c>
      <c r="B94" t="str">
        <f>VLOOKUP(Tabla6[[#This Row],[IGG ID]],Caza!C:D,2,0)</f>
        <v>xRudius</v>
      </c>
      <c r="C94">
        <v>584246118993</v>
      </c>
    </row>
    <row r="95" spans="1:3" x14ac:dyDescent="0.3">
      <c r="A95">
        <v>1367372226</v>
      </c>
      <c r="B95" t="str">
        <f>VLOOKUP(Tabla6[[#This Row],[IGG ID]],Caza!C:D,2,0)</f>
        <v>XxtatuxX</v>
      </c>
    </row>
    <row r="96" spans="1:3" x14ac:dyDescent="0.3">
      <c r="A96">
        <v>1931591455</v>
      </c>
      <c r="B96" t="str">
        <f>VLOOKUP(Tabla6[[#This Row],[IGG ID]],Caza!C:D,2,0)</f>
        <v>XXGAELICOXX</v>
      </c>
      <c r="C96">
        <v>34618068649</v>
      </c>
    </row>
    <row r="97" spans="1:3" x14ac:dyDescent="0.3">
      <c r="A97">
        <v>874666931</v>
      </c>
      <c r="B97" t="e">
        <f>VLOOKUP(Tabla6[[#This Row],[IGG ID]],Caza!C:D,2,0)</f>
        <v>#N/A</v>
      </c>
      <c r="C97">
        <v>34615730725</v>
      </c>
    </row>
    <row r="98" spans="1:3" x14ac:dyDescent="0.3">
      <c r="A98">
        <v>937413870</v>
      </c>
      <c r="B98" t="str">
        <f>VLOOKUP(Tabla6[[#This Row],[IGG ID]],Caza!C:D,2,0)</f>
        <v>YuVe10</v>
      </c>
    </row>
    <row r="99" spans="1:3" x14ac:dyDescent="0.3">
      <c r="A99">
        <v>1027989176</v>
      </c>
      <c r="B99" t="str">
        <f>VLOOKUP(Tabla6[[#This Row],[IGG ID]],Caza!C:D,2,0)</f>
        <v>YuVeSiTo</v>
      </c>
    </row>
    <row r="100" spans="1:3" x14ac:dyDescent="0.3">
      <c r="A100">
        <v>566390589</v>
      </c>
      <c r="B100" t="str">
        <f>VLOOKUP(Tabla6[[#This Row],[IGG ID]],Caza!C:D,2,0)</f>
        <v>Z3R06</v>
      </c>
      <c r="C100">
        <v>5215538901631</v>
      </c>
    </row>
    <row r="101" spans="1:3" x14ac:dyDescent="0.3">
      <c r="A101">
        <v>884346374</v>
      </c>
      <c r="B101" t="str">
        <f>VLOOKUP(Tabla6[[#This Row],[IGG ID]],Caza!C:D,2,0)</f>
        <v>ZOOMBI3XX</v>
      </c>
      <c r="C101">
        <v>34615730725</v>
      </c>
    </row>
    <row r="102" spans="1:3" x14ac:dyDescent="0.3">
      <c r="A102">
        <v>446013149</v>
      </c>
      <c r="B102" t="e">
        <f>VLOOKUP(Tabla6[[#This Row],[IGG ID]],Caza!C:D,2,0)</f>
        <v>#N/A</v>
      </c>
      <c r="C102">
        <v>51980377504</v>
      </c>
    </row>
    <row r="103" spans="1:3" x14ac:dyDescent="0.3">
      <c r="A103">
        <v>597879167</v>
      </c>
      <c r="B103" t="e">
        <f>VLOOKUP(Tabla6[[#This Row],[IGG ID]],Caza!C:D,2,0)</f>
        <v>#N/A</v>
      </c>
      <c r="C103">
        <v>549379967357</v>
      </c>
    </row>
    <row r="104" spans="1:3" x14ac:dyDescent="0.3">
      <c r="A104">
        <v>315992503</v>
      </c>
      <c r="B104" t="e">
        <f>VLOOKUP(Tabla6[[#This Row],[IGG ID]],Caza!C:D,2,0)</f>
        <v>#N/A</v>
      </c>
      <c r="C104">
        <v>50685195956</v>
      </c>
    </row>
    <row r="105" spans="1:3" x14ac:dyDescent="0.3">
      <c r="A105">
        <v>339024723</v>
      </c>
      <c r="B105" t="e">
        <f>VLOOKUP(Tabla6[[#This Row],[IGG ID]],Caza!C:D,2,0)</f>
        <v>#N/A</v>
      </c>
      <c r="C105">
        <v>50685195956</v>
      </c>
    </row>
    <row r="106" spans="1:3" x14ac:dyDescent="0.3">
      <c r="A106">
        <v>355652066</v>
      </c>
      <c r="B106" t="e">
        <f>VLOOKUP(Tabla6[[#This Row],[IGG ID]],Caza!C:D,2,0)</f>
        <v>#N/A</v>
      </c>
      <c r="C106">
        <v>50685195956</v>
      </c>
    </row>
    <row r="107" spans="1:3" x14ac:dyDescent="0.3">
      <c r="A107">
        <v>1940642101</v>
      </c>
      <c r="B107" t="e">
        <f>VLOOKUP(Tabla6[[#This Row],[IGG ID]],Caza!C:D,2,0)</f>
        <v>#N/A</v>
      </c>
      <c r="C107">
        <v>584121633097</v>
      </c>
    </row>
    <row r="108" spans="1:3" x14ac:dyDescent="0.3">
      <c r="A108">
        <v>1693317344</v>
      </c>
      <c r="B108" t="e">
        <f>VLOOKUP(Tabla6[[#This Row],[IGG ID]],Caza!C:D,2,0)</f>
        <v>#N/A</v>
      </c>
      <c r="C108">
        <v>584244571581</v>
      </c>
    </row>
    <row r="109" spans="1:3" x14ac:dyDescent="0.3">
      <c r="A109">
        <v>642356966</v>
      </c>
      <c r="B109" t="e">
        <f>VLOOKUP(Tabla6[[#This Row],[IGG ID]],Caza!C:D,2,0)</f>
        <v>#N/A</v>
      </c>
      <c r="C109">
        <v>5215584183166</v>
      </c>
    </row>
    <row r="110" spans="1:3" x14ac:dyDescent="0.3">
      <c r="A110">
        <v>1107848567</v>
      </c>
      <c r="B110" t="e">
        <f>VLOOKUP(Tabla6[[#This Row],[IGG ID]],Caza!C:D,2,0)</f>
        <v>#N/A</v>
      </c>
      <c r="C110">
        <v>5215584183166</v>
      </c>
    </row>
    <row r="111" spans="1:3" x14ac:dyDescent="0.3">
      <c r="A111">
        <v>694677227</v>
      </c>
      <c r="B111" t="e">
        <f>VLOOKUP(Tabla6[[#This Row],[IGG ID]],Caza!C:D,2,0)</f>
        <v>#N/A</v>
      </c>
      <c r="C111">
        <v>573156583586</v>
      </c>
    </row>
    <row r="112" spans="1:3" x14ac:dyDescent="0.3">
      <c r="A112">
        <v>967393022</v>
      </c>
      <c r="B112" t="e">
        <f>VLOOKUP(Tabla6[[#This Row],[IGG ID]],Caza!C:D,2,0)</f>
        <v>#N/A</v>
      </c>
      <c r="C112">
        <v>56940442393</v>
      </c>
    </row>
    <row r="113" spans="1:3" x14ac:dyDescent="0.3">
      <c r="A113">
        <v>1535794879</v>
      </c>
      <c r="B113" t="e">
        <f>VLOOKUP(Tabla6[[#This Row],[IGG ID]],Caza!C:D,2,0)</f>
        <v>#N/A</v>
      </c>
      <c r="C113">
        <v>5215523547766</v>
      </c>
    </row>
    <row r="114" spans="1:3" x14ac:dyDescent="0.3">
      <c r="A114">
        <v>820686880</v>
      </c>
      <c r="B114" t="e">
        <f>VLOOKUP(Tabla6[[#This Row],[IGG ID]],Caza!C:D,2,0)</f>
        <v>#N/A</v>
      </c>
      <c r="C114">
        <v>573013299286</v>
      </c>
    </row>
    <row r="115" spans="1:3" x14ac:dyDescent="0.3">
      <c r="A115">
        <v>1040171147</v>
      </c>
      <c r="B115" t="e">
        <f>VLOOKUP(Tabla6[[#This Row],[IGG ID]],Caza!C:D,2,0)</f>
        <v>#N/A</v>
      </c>
      <c r="C115">
        <v>56997784905</v>
      </c>
    </row>
    <row r="116" spans="1:3" x14ac:dyDescent="0.3">
      <c r="A116">
        <v>1866719674</v>
      </c>
      <c r="B116" t="e">
        <f>VLOOKUP(Tabla6[[#This Row],[IGG ID]],Caza!C:D,2,0)</f>
        <v>#N/A</v>
      </c>
      <c r="C116">
        <v>5215523547766</v>
      </c>
    </row>
    <row r="117" spans="1:3" x14ac:dyDescent="0.3">
      <c r="A117">
        <v>871943702</v>
      </c>
      <c r="B117" t="e">
        <f>VLOOKUP(Tabla6[[#This Row],[IGG ID]],Caza!C:D,2,0)</f>
        <v>#N/A</v>
      </c>
      <c r="C117">
        <v>5492657545729</v>
      </c>
    </row>
    <row r="118" spans="1:3" x14ac:dyDescent="0.3">
      <c r="A118">
        <v>376376295</v>
      </c>
      <c r="B118" t="e">
        <f>VLOOKUP(Tabla6[[#This Row],[IGG ID]],Caza!C:D,2,0)</f>
        <v>#N/A</v>
      </c>
      <c r="C118">
        <v>573013299286</v>
      </c>
    </row>
    <row r="119" spans="1:3" x14ac:dyDescent="0.3">
      <c r="A119">
        <v>644038791</v>
      </c>
      <c r="B119" t="str">
        <f>VLOOKUP(Tabla6[[#This Row],[IGG ID]],Caza!C:D,2,0)</f>
        <v>jmr3365 de</v>
      </c>
      <c r="C119">
        <v>56994044275</v>
      </c>
    </row>
    <row r="120" spans="1:3" x14ac:dyDescent="0.3">
      <c r="A120">
        <v>778540928</v>
      </c>
      <c r="B120" t="e">
        <f>VLOOKUP(Tabla6[[#This Row],[IGG ID]],Caza!C:D,2,0)</f>
        <v>#N/A</v>
      </c>
      <c r="C120">
        <v>56934018697</v>
      </c>
    </row>
    <row r="121" spans="1:3" x14ac:dyDescent="0.3">
      <c r="A121">
        <v>600359996</v>
      </c>
      <c r="B121" t="e">
        <f>VLOOKUP(Tabla6[[#This Row],[IGG ID]],Caza!C:D,2,0)</f>
        <v>#N/A</v>
      </c>
      <c r="C121">
        <v>59177417471</v>
      </c>
    </row>
    <row r="122" spans="1:3" x14ac:dyDescent="0.3">
      <c r="A122">
        <v>392077692</v>
      </c>
      <c r="B122" t="e">
        <f>VLOOKUP(Tabla6[[#This Row],[IGG ID]],Caza!C:D,2,0)</f>
        <v>#N/A</v>
      </c>
      <c r="C122">
        <v>549379967357</v>
      </c>
    </row>
    <row r="123" spans="1:3" x14ac:dyDescent="0.3">
      <c r="A123">
        <v>683679140</v>
      </c>
      <c r="B123" t="e">
        <f>VLOOKUP(Tabla6[[#This Row],[IGG ID]],Caza!C:D,2,0)</f>
        <v>#N/A</v>
      </c>
      <c r="C123">
        <v>549379967357</v>
      </c>
    </row>
    <row r="124" spans="1:3" x14ac:dyDescent="0.3">
      <c r="A124">
        <v>1002780236</v>
      </c>
      <c r="B124" t="e">
        <f>VLOOKUP(Tabla6[[#This Row],[IGG ID]],Caza!C:D,2,0)</f>
        <v>#N/A</v>
      </c>
      <c r="C124">
        <v>584149949898</v>
      </c>
    </row>
    <row r="125" spans="1:3" x14ac:dyDescent="0.3">
      <c r="A125">
        <v>830977422</v>
      </c>
      <c r="B125" t="e">
        <f>VLOOKUP(Tabla6[[#This Row],[IGG ID]],Caza!C:D,2,0)</f>
        <v>#N/A</v>
      </c>
      <c r="C125">
        <v>573013299286</v>
      </c>
    </row>
    <row r="126" spans="1:3" x14ac:dyDescent="0.3">
      <c r="A126">
        <v>999874043</v>
      </c>
      <c r="B126" t="e">
        <f>VLOOKUP(Tabla6[[#This Row],[IGG ID]],Caza!C:D,2,0)</f>
        <v>#N/A</v>
      </c>
      <c r="C126">
        <v>51900029964</v>
      </c>
    </row>
    <row r="127" spans="1:3" x14ac:dyDescent="0.3">
      <c r="A127">
        <v>316274033</v>
      </c>
      <c r="B127" t="e">
        <f>VLOOKUP(Tabla6[[#This Row],[IGG ID]],Caza!C:D,2,0)</f>
        <v>#N/A</v>
      </c>
      <c r="C127">
        <v>50685195956</v>
      </c>
    </row>
    <row r="128" spans="1:3" x14ac:dyDescent="0.3">
      <c r="A128">
        <v>440323888</v>
      </c>
      <c r="B128" t="e">
        <f>VLOOKUP(Tabla6[[#This Row],[IGG ID]],Caza!C:D,2,0)</f>
        <v>#N/A</v>
      </c>
      <c r="C128">
        <v>549379967357</v>
      </c>
    </row>
    <row r="129" spans="1:3" x14ac:dyDescent="0.3">
      <c r="A129">
        <v>1279827382</v>
      </c>
      <c r="B129" t="str">
        <f>VLOOKUP(Tabla6[[#This Row],[IGG ID]],Caza!C:D,2,0)</f>
        <v>PESADOS12</v>
      </c>
      <c r="C129">
        <v>5493795764487</v>
      </c>
    </row>
    <row r="130" spans="1:3" x14ac:dyDescent="0.3">
      <c r="A130">
        <v>807062911</v>
      </c>
      <c r="B130" t="e">
        <f>VLOOKUP(Tabla6[[#This Row],[IGG ID]],Caza!C:D,2,0)</f>
        <v>#N/A</v>
      </c>
      <c r="C130">
        <v>51992833496</v>
      </c>
    </row>
    <row r="131" spans="1:3" x14ac:dyDescent="0.3">
      <c r="A131">
        <v>829353787</v>
      </c>
      <c r="B131" t="e">
        <f>VLOOKUP(Tabla6[[#This Row],[IGG ID]],Caza!C:D,2,0)</f>
        <v>#N/A</v>
      </c>
      <c r="C131">
        <v>573219808959</v>
      </c>
    </row>
    <row r="132" spans="1:3" x14ac:dyDescent="0.3">
      <c r="A132">
        <v>526144427</v>
      </c>
      <c r="B132" t="str">
        <f>VLOOKUP(Tabla6[[#This Row],[IGG ID]],Caza!C:D,2,0)</f>
        <v>sargent01</v>
      </c>
      <c r="C132">
        <v>5214495437706</v>
      </c>
    </row>
    <row r="133" spans="1:3" x14ac:dyDescent="0.3">
      <c r="A133">
        <v>469677437</v>
      </c>
      <c r="B133" t="e">
        <f>VLOOKUP(Tabla6[[#This Row],[IGG ID]],Caza!C:D,2,0)</f>
        <v>#N/A</v>
      </c>
      <c r="C133">
        <v>59893715248</v>
      </c>
    </row>
    <row r="134" spans="1:3" x14ac:dyDescent="0.3">
      <c r="A134">
        <v>391188518</v>
      </c>
      <c r="B134" t="e">
        <f>VLOOKUP(Tabla6[[#This Row],[IGG ID]],Caza!C:D,2,0)</f>
        <v>#N/A</v>
      </c>
      <c r="C134">
        <v>549379967357</v>
      </c>
    </row>
    <row r="135" spans="1:3" x14ac:dyDescent="0.3">
      <c r="A135">
        <v>1863898201</v>
      </c>
      <c r="B135" t="e">
        <f>VLOOKUP(Tabla6[[#This Row],[IGG ID]],Caza!C:D,2,0)</f>
        <v>#N/A</v>
      </c>
      <c r="C135">
        <v>5215523547766</v>
      </c>
    </row>
    <row r="136" spans="1:3" x14ac:dyDescent="0.3">
      <c r="A136">
        <v>817780877</v>
      </c>
      <c r="B136" t="e">
        <f>VLOOKUP(Tabla6[[#This Row],[IGG ID]],Caza!C:D,2,0)</f>
        <v>#N/A</v>
      </c>
      <c r="C136">
        <v>5215523547766</v>
      </c>
    </row>
    <row r="137" spans="1:3" x14ac:dyDescent="0.3">
      <c r="A137">
        <v>334624772</v>
      </c>
      <c r="B137" t="e">
        <f>VLOOKUP(Tabla6[[#This Row],[IGG ID]],Caza!C:D,2,0)</f>
        <v>#N/A</v>
      </c>
      <c r="C137">
        <v>51951360765</v>
      </c>
    </row>
    <row r="138" spans="1:3" x14ac:dyDescent="0.3">
      <c r="A138">
        <v>1050145825</v>
      </c>
      <c r="B138" t="e">
        <f>VLOOKUP(Tabla6[[#This Row],[IGG ID]],Caza!C:D,2,0)</f>
        <v>#N/A</v>
      </c>
      <c r="C138">
        <v>51940249141</v>
      </c>
    </row>
    <row r="139" spans="1:3" x14ac:dyDescent="0.3">
      <c r="A139">
        <v>1268693750</v>
      </c>
      <c r="B139" t="e">
        <f>VLOOKUP(Tabla6[[#This Row],[IGG ID]],Caza!C:D,2,0)</f>
        <v>#N/A</v>
      </c>
      <c r="C139">
        <v>584244571581</v>
      </c>
    </row>
    <row r="140" spans="1:3" x14ac:dyDescent="0.3">
      <c r="A140">
        <v>1637267113</v>
      </c>
      <c r="B140" t="e">
        <f>VLOOKUP(Tabla6[[#This Row],[IGG ID]],Caza!C:D,2,0)</f>
        <v>#N/A</v>
      </c>
      <c r="C140">
        <v>51926920017</v>
      </c>
    </row>
    <row r="141" spans="1:3" x14ac:dyDescent="0.3">
      <c r="A141">
        <v>467556370</v>
      </c>
      <c r="B141" t="e">
        <f>VLOOKUP(Tabla6[[#This Row],[IGG ID]],Caza!C:D,2,0)</f>
        <v>#N/A</v>
      </c>
      <c r="C141">
        <v>5219221099528</v>
      </c>
    </row>
    <row r="142" spans="1:3" x14ac:dyDescent="0.3">
      <c r="A142">
        <v>1229523616</v>
      </c>
      <c r="B142" t="e">
        <f>VLOOKUP(Tabla6[[#This Row],[IGG ID]],Caza!C:D,2,0)</f>
        <v>#N/A</v>
      </c>
      <c r="C142">
        <v>5215572795581</v>
      </c>
    </row>
    <row r="143" spans="1:3" x14ac:dyDescent="0.3">
      <c r="A143">
        <v>1371120004</v>
      </c>
      <c r="B143" t="e">
        <f>VLOOKUP(Tabla6[[#This Row],[IGG ID]],Caza!C:D,2,0)</f>
        <v>#N/A</v>
      </c>
      <c r="C143">
        <v>5493417439352</v>
      </c>
    </row>
    <row r="144" spans="1:3" x14ac:dyDescent="0.3">
      <c r="A144">
        <v>1279036943</v>
      </c>
      <c r="B144" t="e">
        <f>VLOOKUP(Tabla6[[#This Row],[IGG ID]],Caza!C:D,2,0)</f>
        <v>#N/A</v>
      </c>
      <c r="C144">
        <v>5493417439352</v>
      </c>
    </row>
    <row r="145" spans="1:3" x14ac:dyDescent="0.3">
      <c r="A145">
        <v>358647445</v>
      </c>
      <c r="B145" t="e">
        <f>VLOOKUP(Tabla6[[#This Row],[IGG ID]],Caza!C:D,2,0)</f>
        <v>#N/A</v>
      </c>
      <c r="C145">
        <v>5215523547766</v>
      </c>
    </row>
  </sheetData>
  <conditionalFormatting sqref="C84:C1048576 C1:C82">
    <cfRule type="duplicateValues" dxfId="3" priority="4"/>
  </conditionalFormatting>
  <conditionalFormatting sqref="C1:C1048576">
    <cfRule type="duplicateValues" dxfId="2" priority="3"/>
  </conditionalFormatting>
  <conditionalFormatting sqref="A146:A1048576 A1:A84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Caza</vt:lpstr>
      <vt:lpstr>Caza lvl 1</vt:lpstr>
      <vt:lpstr>Ranking Evento</vt:lpstr>
      <vt:lpstr>FDG</vt:lpstr>
      <vt:lpstr>Avisos</vt:lpstr>
      <vt:lpstr>Numeros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Hugo Blanco</cp:lastModifiedBy>
  <cp:lastPrinted>2025-01-18T02:02:14Z</cp:lastPrinted>
  <dcterms:created xsi:type="dcterms:W3CDTF">2022-07-05T21:39:51Z</dcterms:created>
  <dcterms:modified xsi:type="dcterms:W3CDTF">2026-06-11T22:06:58Z</dcterms:modified>
</cp:coreProperties>
</file>